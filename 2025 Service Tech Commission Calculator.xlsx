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wilson-agility\"/>
    </mc:Choice>
  </mc:AlternateContent>
  <xr:revisionPtr revIDLastSave="0" documentId="8_{6250A7A8-52C1-466E-A1AE-6366AC9ED386}" xr6:coauthVersionLast="47" xr6:coauthVersionMax="47" xr10:uidLastSave="{00000000-0000-0000-0000-000000000000}"/>
  <bookViews>
    <workbookView xWindow="-110" yWindow="-110" windowWidth="38620" windowHeight="21100" xr2:uid="{F9D6B429-2CB2-4F7A-AC34-696678F46625}"/>
  </bookViews>
  <sheets>
    <sheet name="Service Tech Pay Calendar" sheetId="2" r:id="rId1"/>
    <sheet name="Service Dept Quota" sheetId="9" r:id="rId2"/>
    <sheet name="Data Entry" sheetId="12" r:id="rId3"/>
    <sheet name="Calculator" sheetId="11" r:id="rId4"/>
    <sheet name="Mark Perks" sheetId="13" r:id="rId5"/>
    <sheet name="Scott" sheetId="1" r:id="rId6"/>
    <sheet name="Marc" sheetId="5" r:id="rId7"/>
    <sheet name="Andrew" sheetId="6" r:id="rId8"/>
    <sheet name="Mitchell" sheetId="8" r:id="rId9"/>
    <sheet name="Kyle" sheetId="7" r:id="rId10"/>
    <sheet name="Josh" sheetId="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1" i="9" l="1"/>
  <c r="W44" i="9"/>
  <c r="W45" i="9"/>
  <c r="W46" i="9"/>
  <c r="W47" i="9"/>
  <c r="W48" i="9"/>
  <c r="W49" i="9"/>
  <c r="W43" i="9"/>
  <c r="Q24" i="9"/>
  <c r="V39" i="9"/>
  <c r="W31" i="9" s="1"/>
  <c r="X31" i="9" s="1"/>
  <c r="Y31" i="9" s="1"/>
  <c r="V12" i="9" s="1"/>
  <c r="S33" i="9"/>
  <c r="S32" i="9"/>
  <c r="S31" i="9"/>
  <c r="S30" i="9"/>
  <c r="S29" i="9"/>
  <c r="W51" i="9" l="1"/>
  <c r="W30" i="9"/>
  <c r="X30" i="9" s="1"/>
  <c r="Y30" i="9" s="1"/>
  <c r="V11" i="9" s="1"/>
  <c r="W11" i="9" s="1"/>
  <c r="W37" i="9"/>
  <c r="X37" i="9" s="1"/>
  <c r="Y37" i="9" s="1"/>
  <c r="V18" i="9" s="1"/>
  <c r="W36" i="9"/>
  <c r="X36" i="9" s="1"/>
  <c r="Y36" i="9" s="1"/>
  <c r="V17" i="9" s="1"/>
  <c r="W35" i="9"/>
  <c r="X35" i="9" s="1"/>
  <c r="Y35" i="9" s="1"/>
  <c r="V16" i="9" s="1"/>
  <c r="W34" i="9"/>
  <c r="X34" i="9" s="1"/>
  <c r="Y34" i="9" s="1"/>
  <c r="V15" i="9" s="1"/>
  <c r="W15" i="9" s="1"/>
  <c r="W33" i="9"/>
  <c r="X33" i="9" s="1"/>
  <c r="Y33" i="9" s="1"/>
  <c r="V14" i="9" s="1"/>
  <c r="W14" i="9" s="1"/>
  <c r="W32" i="9"/>
  <c r="X32" i="9" s="1"/>
  <c r="Y32" i="9" s="1"/>
  <c r="V13" i="9" s="1"/>
  <c r="W13" i="9" s="1"/>
  <c r="J40" i="9"/>
  <c r="J41" i="9" s="1"/>
  <c r="K39" i="9"/>
  <c r="K44" i="9" s="1"/>
  <c r="K38" i="9"/>
  <c r="K43" i="9" s="1"/>
  <c r="W12" i="9"/>
  <c r="W16" i="9"/>
  <c r="W17" i="9"/>
  <c r="W18" i="9"/>
  <c r="U23" i="9"/>
  <c r="T11" i="9"/>
  <c r="U11" i="9" s="1"/>
  <c r="T14" i="9"/>
  <c r="U14" i="9" s="1"/>
  <c r="T18" i="9"/>
  <c r="U18" i="9" s="1"/>
  <c r="T15" i="9"/>
  <c r="U15" i="9" s="1"/>
  <c r="Q13" i="9"/>
  <c r="T13" i="9" s="1"/>
  <c r="U13" i="9" s="1"/>
  <c r="Q12" i="9"/>
  <c r="Q17" i="9"/>
  <c r="T17" i="9" s="1"/>
  <c r="U17" i="9" s="1"/>
  <c r="Q16" i="9"/>
  <c r="T16" i="9" s="1"/>
  <c r="P12" i="9"/>
  <c r="P13" i="9"/>
  <c r="P14" i="9"/>
  <c r="R14" i="9" s="1"/>
  <c r="P15" i="9"/>
  <c r="R15" i="9" s="1"/>
  <c r="P16" i="9"/>
  <c r="P17" i="9"/>
  <c r="P19" i="9"/>
  <c r="P11" i="9"/>
  <c r="R11" i="9" s="1"/>
  <c r="V20" i="9" l="1"/>
  <c r="K40" i="9"/>
  <c r="K45" i="9" s="1"/>
  <c r="K41" i="9"/>
  <c r="W20" i="9"/>
  <c r="Q20" i="9"/>
  <c r="U16" i="9"/>
  <c r="R13" i="9"/>
  <c r="R16" i="9"/>
  <c r="P20" i="9"/>
  <c r="T12" i="9"/>
  <c r="U12" i="9" s="1"/>
  <c r="R17" i="9"/>
  <c r="R12" i="9"/>
  <c r="J36" i="9"/>
  <c r="K36" i="9"/>
  <c r="N26" i="9"/>
  <c r="M20" i="9" s="1"/>
  <c r="P10" i="12"/>
  <c r="P19" i="12"/>
  <c r="P28" i="12"/>
  <c r="P37" i="12"/>
  <c r="P46" i="12"/>
  <c r="P55" i="12"/>
  <c r="P64" i="12"/>
  <c r="P73" i="12"/>
  <c r="C70" i="12"/>
  <c r="C72" i="12" s="1"/>
  <c r="C74" i="12" s="1"/>
  <c r="D72" i="12"/>
  <c r="D74" i="12" s="1"/>
  <c r="E72" i="12"/>
  <c r="E74" i="12" s="1"/>
  <c r="F72" i="12"/>
  <c r="F74" i="12" s="1"/>
  <c r="G72" i="12"/>
  <c r="G74" i="12" s="1"/>
  <c r="H72" i="12"/>
  <c r="H74" i="12" s="1"/>
  <c r="I72" i="12"/>
  <c r="I74" i="12" s="1"/>
  <c r="J72" i="12"/>
  <c r="K72" i="12"/>
  <c r="K74" i="12" s="1"/>
  <c r="L72" i="12"/>
  <c r="L74" i="12" s="1"/>
  <c r="M72" i="12"/>
  <c r="M74" i="12" s="1"/>
  <c r="N72" i="12"/>
  <c r="O72" i="12"/>
  <c r="O74" i="12" s="1"/>
  <c r="J74" i="12"/>
  <c r="N74" i="12"/>
  <c r="C63" i="12"/>
  <c r="C65" i="12" s="1"/>
  <c r="D63" i="12"/>
  <c r="E63" i="12"/>
  <c r="E65" i="12" s="1"/>
  <c r="F63" i="12"/>
  <c r="F65" i="12" s="1"/>
  <c r="G63" i="12"/>
  <c r="H63" i="12"/>
  <c r="H65" i="12" s="1"/>
  <c r="I63" i="12"/>
  <c r="I65" i="12" s="1"/>
  <c r="J63" i="12"/>
  <c r="J65" i="12" s="1"/>
  <c r="K63" i="12"/>
  <c r="K65" i="12" s="1"/>
  <c r="L63" i="12"/>
  <c r="L65" i="12" s="1"/>
  <c r="M63" i="12"/>
  <c r="M65" i="12" s="1"/>
  <c r="N63" i="12"/>
  <c r="N65" i="12" s="1"/>
  <c r="O63" i="12"/>
  <c r="O65" i="12" s="1"/>
  <c r="G65" i="12"/>
  <c r="C54" i="12"/>
  <c r="C56" i="12" s="1"/>
  <c r="D54" i="12"/>
  <c r="E54" i="12"/>
  <c r="E56" i="12" s="1"/>
  <c r="F54" i="12"/>
  <c r="F56" i="12" s="1"/>
  <c r="G54" i="12"/>
  <c r="G56" i="12" s="1"/>
  <c r="H54" i="12"/>
  <c r="H56" i="12" s="1"/>
  <c r="I54" i="12"/>
  <c r="I56" i="12" s="1"/>
  <c r="J54" i="12"/>
  <c r="J56" i="12" s="1"/>
  <c r="K54" i="12"/>
  <c r="K56" i="12" s="1"/>
  <c r="L54" i="12"/>
  <c r="L56" i="12" s="1"/>
  <c r="M54" i="12"/>
  <c r="M56" i="12" s="1"/>
  <c r="N54" i="12"/>
  <c r="N56" i="12" s="1"/>
  <c r="O54" i="12"/>
  <c r="O56" i="12" s="1"/>
  <c r="C45" i="12"/>
  <c r="C47" i="12" s="1"/>
  <c r="D45" i="12"/>
  <c r="E45" i="12"/>
  <c r="E47" i="12" s="1"/>
  <c r="F45" i="12"/>
  <c r="F47" i="12" s="1"/>
  <c r="G45" i="12"/>
  <c r="G47" i="12" s="1"/>
  <c r="H45" i="12"/>
  <c r="H47" i="12" s="1"/>
  <c r="I45" i="12"/>
  <c r="I47" i="12" s="1"/>
  <c r="J45" i="12"/>
  <c r="J47" i="12" s="1"/>
  <c r="K45" i="12"/>
  <c r="K47" i="12" s="1"/>
  <c r="L45" i="12"/>
  <c r="L47" i="12" s="1"/>
  <c r="M45" i="12"/>
  <c r="M47" i="12" s="1"/>
  <c r="N45" i="12"/>
  <c r="N47" i="12" s="1"/>
  <c r="O45" i="12"/>
  <c r="O47" i="12" s="1"/>
  <c r="C36" i="12"/>
  <c r="C38" i="12" s="1"/>
  <c r="D36" i="12"/>
  <c r="D38" i="12" s="1"/>
  <c r="E36" i="12"/>
  <c r="E38" i="12" s="1"/>
  <c r="F36" i="12"/>
  <c r="F38" i="12" s="1"/>
  <c r="G36" i="12"/>
  <c r="G38" i="12" s="1"/>
  <c r="H36" i="12"/>
  <c r="H38" i="12" s="1"/>
  <c r="I36" i="12"/>
  <c r="I38" i="12" s="1"/>
  <c r="J36" i="12"/>
  <c r="J38" i="12" s="1"/>
  <c r="K36" i="12"/>
  <c r="K38" i="12" s="1"/>
  <c r="L36" i="12"/>
  <c r="L38" i="12" s="1"/>
  <c r="M36" i="12"/>
  <c r="M38" i="12" s="1"/>
  <c r="N36" i="12"/>
  <c r="N38" i="12" s="1"/>
  <c r="O36" i="12"/>
  <c r="O38" i="12"/>
  <c r="C27" i="12"/>
  <c r="C29" i="12" s="1"/>
  <c r="D27" i="12"/>
  <c r="D29" i="12" s="1"/>
  <c r="E27" i="12"/>
  <c r="E29" i="12" s="1"/>
  <c r="F27" i="12"/>
  <c r="F29" i="12" s="1"/>
  <c r="G27" i="12"/>
  <c r="G29" i="12" s="1"/>
  <c r="H27" i="12"/>
  <c r="H29" i="12" s="1"/>
  <c r="I27" i="12"/>
  <c r="I29" i="12" s="1"/>
  <c r="J27" i="12"/>
  <c r="J29" i="12" s="1"/>
  <c r="K27" i="12"/>
  <c r="K29" i="12" s="1"/>
  <c r="L27" i="12"/>
  <c r="L29" i="12" s="1"/>
  <c r="M27" i="12"/>
  <c r="M29" i="12" s="1"/>
  <c r="N27" i="12"/>
  <c r="N29" i="12" s="1"/>
  <c r="O27" i="12"/>
  <c r="O29" i="12"/>
  <c r="C18" i="12"/>
  <c r="C20" i="12" s="1"/>
  <c r="D18" i="12"/>
  <c r="D20" i="12" s="1"/>
  <c r="E18" i="12"/>
  <c r="E20" i="12" s="1"/>
  <c r="F18" i="12"/>
  <c r="F20" i="12" s="1"/>
  <c r="G18" i="12"/>
  <c r="H18" i="12"/>
  <c r="I18" i="12"/>
  <c r="I20" i="12" s="1"/>
  <c r="J18" i="12"/>
  <c r="K18" i="12"/>
  <c r="K20" i="12" s="1"/>
  <c r="L18" i="12"/>
  <c r="L20" i="12" s="1"/>
  <c r="M18" i="12"/>
  <c r="M20" i="12" s="1"/>
  <c r="N18" i="12"/>
  <c r="N20" i="12" s="1"/>
  <c r="O18" i="12"/>
  <c r="O20" i="12" s="1"/>
  <c r="G20" i="12"/>
  <c r="H20" i="12"/>
  <c r="J20" i="12"/>
  <c r="C9" i="12"/>
  <c r="C11" i="12" s="1"/>
  <c r="D9" i="12"/>
  <c r="D11" i="12" s="1"/>
  <c r="E9" i="12"/>
  <c r="E11" i="12" s="1"/>
  <c r="F9" i="12"/>
  <c r="F11" i="12" s="1"/>
  <c r="G9" i="12"/>
  <c r="G11" i="12" s="1"/>
  <c r="H9" i="12"/>
  <c r="I9" i="12"/>
  <c r="I11" i="12" s="1"/>
  <c r="J9" i="12"/>
  <c r="K9" i="12"/>
  <c r="L9" i="12"/>
  <c r="L11" i="12" s="1"/>
  <c r="M9" i="12"/>
  <c r="N9" i="12"/>
  <c r="N11" i="12" s="1"/>
  <c r="O9" i="12"/>
  <c r="O11" i="12" s="1"/>
  <c r="H11" i="12"/>
  <c r="J11" i="12"/>
  <c r="K11" i="12"/>
  <c r="M11" i="12"/>
  <c r="U20" i="9" l="1"/>
  <c r="U26" i="9" s="1"/>
  <c r="R20" i="9"/>
  <c r="P63" i="12"/>
  <c r="P65" i="12" s="1"/>
  <c r="P54" i="12"/>
  <c r="P56" i="12" s="1"/>
  <c r="P45" i="12"/>
  <c r="P47" i="12" s="1"/>
  <c r="D65" i="12"/>
  <c r="D56" i="12"/>
  <c r="P72" i="12"/>
  <c r="P74" i="12" s="1"/>
  <c r="D47" i="12"/>
  <c r="P36" i="12"/>
  <c r="P38" i="12" s="1"/>
  <c r="P27" i="12"/>
  <c r="P29" i="12" s="1"/>
  <c r="P9" i="12"/>
  <c r="P11" i="12" s="1"/>
  <c r="P18" i="12"/>
  <c r="P20" i="12" s="1"/>
  <c r="B72" i="12"/>
  <c r="B74" i="12" s="1"/>
  <c r="N21" i="9"/>
  <c r="B63" i="12"/>
  <c r="B65" i="12" s="1"/>
  <c r="B54" i="12"/>
  <c r="B56" i="12" s="1"/>
  <c r="B45" i="12"/>
  <c r="B47" i="12" s="1"/>
  <c r="B36" i="12"/>
  <c r="B38" i="12" s="1"/>
  <c r="B27" i="12"/>
  <c r="B29" i="12" s="1"/>
  <c r="B18" i="12"/>
  <c r="B20" i="12" s="1"/>
  <c r="B9" i="12"/>
  <c r="B11" i="12" s="1"/>
  <c r="C2" i="12"/>
  <c r="D2" i="12" s="1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E4" i="13"/>
  <c r="F4" i="13" s="1"/>
  <c r="E5" i="13"/>
  <c r="E6" i="13"/>
  <c r="F6" i="13" s="1"/>
  <c r="E3" i="13"/>
  <c r="C6" i="13"/>
  <c r="D6" i="13" s="1"/>
  <c r="F5" i="13"/>
  <c r="D5" i="13"/>
  <c r="D4" i="13"/>
  <c r="C3" i="13"/>
  <c r="D3" i="13" s="1"/>
  <c r="L33" i="9"/>
  <c r="L34" i="9"/>
  <c r="L31" i="9"/>
  <c r="L32" i="9"/>
  <c r="K33" i="9"/>
  <c r="J34" i="9"/>
  <c r="K34" i="9" s="1"/>
  <c r="K32" i="9"/>
  <c r="J31" i="9"/>
  <c r="K31" i="9" s="1"/>
  <c r="I17" i="9"/>
  <c r="K17" i="9" s="1"/>
  <c r="C5" i="9"/>
  <c r="C6" i="9"/>
  <c r="C7" i="9"/>
  <c r="C4" i="9"/>
  <c r="I11" i="9"/>
  <c r="I16" i="9"/>
  <c r="X16" i="9"/>
  <c r="I14" i="9"/>
  <c r="K14" i="9" s="1"/>
  <c r="J20" i="9"/>
  <c r="L19" i="9"/>
  <c r="K19" i="9"/>
  <c r="L12" i="9"/>
  <c r="L13" i="9"/>
  <c r="L14" i="9"/>
  <c r="L15" i="9"/>
  <c r="L16" i="9"/>
  <c r="L17" i="9"/>
  <c r="L11" i="9"/>
  <c r="I12" i="9"/>
  <c r="K12" i="9" s="1"/>
  <c r="I13" i="9"/>
  <c r="K13" i="9" s="1"/>
  <c r="I15" i="9"/>
  <c r="K15" i="9" s="1"/>
  <c r="F32" i="11"/>
  <c r="C22" i="11"/>
  <c r="F16" i="11" s="1"/>
  <c r="F12" i="11"/>
  <c r="F9" i="11"/>
  <c r="C3" i="9"/>
  <c r="C11" i="9"/>
  <c r="E11" i="9" s="1"/>
  <c r="F11" i="9"/>
  <c r="X11" i="9"/>
  <c r="C12" i="9"/>
  <c r="E12" i="9" s="1"/>
  <c r="F12" i="9"/>
  <c r="X12" i="9"/>
  <c r="C13" i="9"/>
  <c r="E13" i="9" s="1"/>
  <c r="F13" i="9"/>
  <c r="X13" i="9"/>
  <c r="C14" i="9"/>
  <c r="E14" i="9" s="1"/>
  <c r="F14" i="9"/>
  <c r="X14" i="9"/>
  <c r="C15" i="9"/>
  <c r="E15" i="9" s="1"/>
  <c r="F15" i="9"/>
  <c r="X15" i="9"/>
  <c r="X17" i="9"/>
  <c r="O20" i="9"/>
  <c r="F29" i="8"/>
  <c r="C19" i="8"/>
  <c r="F11" i="8" s="1"/>
  <c r="F9" i="8"/>
  <c r="F4" i="8"/>
  <c r="F6" i="8" s="1"/>
  <c r="F29" i="7"/>
  <c r="C19" i="7"/>
  <c r="F12" i="7" s="1"/>
  <c r="F13" i="7"/>
  <c r="F9" i="7"/>
  <c r="F4" i="7"/>
  <c r="F6" i="7" s="1"/>
  <c r="M34" i="9" l="1"/>
  <c r="M32" i="9"/>
  <c r="M33" i="9"/>
  <c r="M31" i="9"/>
  <c r="V21" i="9"/>
  <c r="O21" i="9"/>
  <c r="F3" i="13"/>
  <c r="I21" i="9"/>
  <c r="K21" i="9" s="1"/>
  <c r="K16" i="9"/>
  <c r="G13" i="9"/>
  <c r="H13" i="9" s="1"/>
  <c r="G12" i="9"/>
  <c r="H12" i="9" s="1"/>
  <c r="G15" i="9"/>
  <c r="H15" i="9" s="1"/>
  <c r="G14" i="9"/>
  <c r="H14" i="9" s="1"/>
  <c r="G11" i="9"/>
  <c r="H11" i="9" s="1"/>
  <c r="X20" i="9"/>
  <c r="X21" i="9" s="1"/>
  <c r="F11" i="11"/>
  <c r="F13" i="11"/>
  <c r="F14" i="11"/>
  <c r="F15" i="11"/>
  <c r="F8" i="8"/>
  <c r="F13" i="8"/>
  <c r="F10" i="8"/>
  <c r="F12" i="8"/>
  <c r="F8" i="7"/>
  <c r="F10" i="7"/>
  <c r="F14" i="7" s="1"/>
  <c r="F23" i="7" s="1"/>
  <c r="F11" i="7"/>
  <c r="F17" i="11" l="1"/>
  <c r="F26" i="11" s="1"/>
  <c r="F14" i="8"/>
  <c r="F23" i="8" s="1"/>
  <c r="F29" i="6" l="1"/>
  <c r="C19" i="6"/>
  <c r="F13" i="6" s="1"/>
  <c r="F9" i="6"/>
  <c r="F4" i="6"/>
  <c r="F6" i="6" s="1"/>
  <c r="F29" i="5"/>
  <c r="C19" i="5"/>
  <c r="F12" i="5" s="1"/>
  <c r="F9" i="5"/>
  <c r="F4" i="5"/>
  <c r="F6" i="5" s="1"/>
  <c r="F29" i="3"/>
  <c r="C19" i="3"/>
  <c r="F11" i="3" s="1"/>
  <c r="F9" i="3"/>
  <c r="F4" i="3"/>
  <c r="F6" i="3" s="1"/>
  <c r="F8" i="6" l="1"/>
  <c r="F10" i="6"/>
  <c r="F12" i="6"/>
  <c r="F11" i="6"/>
  <c r="F8" i="5"/>
  <c r="F10" i="5"/>
  <c r="F11" i="5"/>
  <c r="F13" i="5"/>
  <c r="F13" i="3"/>
  <c r="F12" i="3"/>
  <c r="F10" i="3"/>
  <c r="F8" i="3"/>
  <c r="F14" i="6" l="1"/>
  <c r="F23" i="6" s="1"/>
  <c r="F14" i="5"/>
  <c r="F23" i="5" s="1"/>
  <c r="F14" i="3"/>
  <c r="F23" i="3" s="1"/>
  <c r="F29" i="1"/>
  <c r="C19" i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3" i="2"/>
  <c r="F4" i="1"/>
  <c r="F6" i="1" s="1"/>
  <c r="F9" i="1"/>
  <c r="F8" i="1" l="1"/>
  <c r="F13" i="1"/>
  <c r="F10" i="1"/>
  <c r="F12" i="1"/>
  <c r="F11" i="1"/>
  <c r="F14" i="1" l="1"/>
  <c r="F23" i="1" s="1"/>
</calcChain>
</file>

<file path=xl/sharedStrings.xml><?xml version="1.0" encoding="utf-8"?>
<sst xmlns="http://schemas.openxmlformats.org/spreadsheetml/2006/main" count="407" uniqueCount="131">
  <si>
    <t>Week</t>
  </si>
  <si>
    <t>Paycheck Date</t>
  </si>
  <si>
    <t>Incentive Pay</t>
  </si>
  <si>
    <t>Bonus Dec</t>
  </si>
  <si>
    <t>Bonus Jan</t>
  </si>
  <si>
    <t>Bonus Feb</t>
  </si>
  <si>
    <t>Commission Q1 &amp; Bonus Mar</t>
  </si>
  <si>
    <t>Bonus Apr</t>
  </si>
  <si>
    <t>Bonus May</t>
  </si>
  <si>
    <t>Bonus Jun</t>
  </si>
  <si>
    <t>Commission Q2</t>
  </si>
  <si>
    <t>Bonus Jul</t>
  </si>
  <si>
    <t>Bonus Aug</t>
  </si>
  <si>
    <t>Commission Q3 &amp; Bonus Sep</t>
  </si>
  <si>
    <t>Bonus Oct</t>
  </si>
  <si>
    <t>Bonus Nov</t>
  </si>
  <si>
    <t>Annual Business Need</t>
  </si>
  <si>
    <t>Weekly Business Need</t>
  </si>
  <si>
    <t>Q1 2024</t>
  </si>
  <si>
    <t>Projected Attainment</t>
  </si>
  <si>
    <t>YTD Labor</t>
  </si>
  <si>
    <t>YTD COD Parts Margin $</t>
  </si>
  <si>
    <t>Labor</t>
  </si>
  <si>
    <t>COD Parts GM</t>
  </si>
  <si>
    <t>Total Attainment $</t>
  </si>
  <si>
    <t>2023 Actual</t>
  </si>
  <si>
    <t>Quota Q1</t>
  </si>
  <si>
    <t>Quota Q2</t>
  </si>
  <si>
    <t>Quota Q3</t>
  </si>
  <si>
    <t>Quota Q4</t>
  </si>
  <si>
    <t>Annualized Quota</t>
  </si>
  <si>
    <t>Quota</t>
  </si>
  <si>
    <t>Quota vs Business Need</t>
  </si>
  <si>
    <t>Weekly Quota</t>
  </si>
  <si>
    <t>Target Annual Bonus</t>
  </si>
  <si>
    <t>Week 1 Actual</t>
  </si>
  <si>
    <t>Base Pay - Guarantee</t>
  </si>
  <si>
    <t>Week 2 Actual</t>
  </si>
  <si>
    <t>Week 3 Actual</t>
  </si>
  <si>
    <t>Paychecks w/o Commission</t>
  </si>
  <si>
    <t>Week 4 Actual</t>
  </si>
  <si>
    <t>Week 5 Actual</t>
  </si>
  <si>
    <t>Paycheck w/Bonus</t>
  </si>
  <si>
    <t>Week 6 Actual</t>
  </si>
  <si>
    <t>Week 7 Actual</t>
  </si>
  <si>
    <t>Q1</t>
  </si>
  <si>
    <t>Week 8 Actual</t>
  </si>
  <si>
    <t>Q2</t>
  </si>
  <si>
    <t>Week 9 Actual</t>
  </si>
  <si>
    <t>Q3</t>
  </si>
  <si>
    <t>Week 10 Actual</t>
  </si>
  <si>
    <t>Q4</t>
  </si>
  <si>
    <t>Week 11 Actual</t>
  </si>
  <si>
    <t>Annual Commission Estimate</t>
  </si>
  <si>
    <t>Week 12 Actual</t>
  </si>
  <si>
    <t>This estimate assumes C19 Attainment % for all quarters</t>
  </si>
  <si>
    <t>Week 13 Actual*</t>
  </si>
  <si>
    <t>Week 14 Actual*</t>
  </si>
  <si>
    <t>Company % to Target</t>
  </si>
  <si>
    <t>Monthly Bonus from Company % to Target</t>
  </si>
  <si>
    <t>Attainment % to Quota</t>
  </si>
  <si>
    <t>Service Dept % to Target</t>
  </si>
  <si>
    <t>* Fill or Delete Actual $ in C16/C17 for 12/14 Week Calculation</t>
  </si>
  <si>
    <t>Monthly Bonus for Dept % to Target</t>
  </si>
  <si>
    <t>Total Cash Compensation Estimate</t>
  </si>
  <si>
    <t>Target Annual Compensation</t>
  </si>
  <si>
    <t>Paycheck w/Commission</t>
  </si>
  <si>
    <t>Attainment Q1</t>
  </si>
  <si>
    <t>Delivered Q1</t>
  </si>
  <si>
    <t>Q2 2024</t>
  </si>
  <si>
    <t>Q3 2024</t>
  </si>
  <si>
    <t>Q4 2024</t>
  </si>
  <si>
    <t>Technician</t>
  </si>
  <si>
    <t>Josh Chappell</t>
  </si>
  <si>
    <t>Andrew Horst</t>
  </si>
  <si>
    <t>Marc Harbison</t>
  </si>
  <si>
    <t>Scott Wilson</t>
  </si>
  <si>
    <t>Kyle Bisson</t>
  </si>
  <si>
    <t>Mitchell Irlbeck</t>
  </si>
  <si>
    <t>Sam Stribling</t>
  </si>
  <si>
    <t>98-100</t>
  </si>
  <si>
    <t>100-105</t>
  </si>
  <si>
    <t>105-110</t>
  </si>
  <si>
    <t>110+</t>
  </si>
  <si>
    <t>Annual</t>
  </si>
  <si>
    <t>Quarterly</t>
  </si>
  <si>
    <t>Total Comp by Attainment Level</t>
  </si>
  <si>
    <t>Base Pay (Hourly + OT)</t>
  </si>
  <si>
    <t>Dept % to Quota</t>
  </si>
  <si>
    <t>2024Q2W1</t>
  </si>
  <si>
    <t>2024Q2W2</t>
  </si>
  <si>
    <t>COD Labor</t>
  </si>
  <si>
    <t>Warranty Labor</t>
  </si>
  <si>
    <t>COD Parts Margin</t>
  </si>
  <si>
    <t>Wilson Quota Credit</t>
  </si>
  <si>
    <t>Fiscal Week</t>
  </si>
  <si>
    <t>Calendar Date Start</t>
  </si>
  <si>
    <t>2024Q2W3</t>
  </si>
  <si>
    <t>2024Q2W4</t>
  </si>
  <si>
    <t>2024Q2W5</t>
  </si>
  <si>
    <t>2024Q2W6</t>
  </si>
  <si>
    <t>2024Q2W7</t>
  </si>
  <si>
    <t>2024Q2W8</t>
  </si>
  <si>
    <t>2024Q2W9</t>
  </si>
  <si>
    <t>2024Q2W10</t>
  </si>
  <si>
    <t>2024Q2W11</t>
  </si>
  <si>
    <t>2024Q2W12</t>
  </si>
  <si>
    <t>2024Q2W13</t>
  </si>
  <si>
    <t>2024Q2W14</t>
  </si>
  <si>
    <t>Total Department</t>
  </si>
  <si>
    <t>Attainment $</t>
  </si>
  <si>
    <t>Attainment %</t>
  </si>
  <si>
    <t>Quota $</t>
  </si>
  <si>
    <t>2024Q2</t>
  </si>
  <si>
    <t>Total</t>
  </si>
  <si>
    <t>Mark Perks</t>
  </si>
  <si>
    <t>Parts</t>
  </si>
  <si>
    <t>Labor COD</t>
  </si>
  <si>
    <t>Labor WTY</t>
  </si>
  <si>
    <t>Trevor Pate</t>
  </si>
  <si>
    <t>Quarterly Quota</t>
  </si>
  <si>
    <t>WACA Deduction</t>
  </si>
  <si>
    <t>TAC</t>
  </si>
  <si>
    <t>Commission %</t>
  </si>
  <si>
    <t>House $</t>
  </si>
  <si>
    <t>Dispatch</t>
  </si>
  <si>
    <t>Manager</t>
  </si>
  <si>
    <t>Commission Value</t>
  </si>
  <si>
    <t>Base Pay Value</t>
  </si>
  <si>
    <t>Cayden Mayfield</t>
  </si>
  <si>
    <t>Bonus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</si>
</sst>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&quot;$&quot;#,##0"/>
    <numFmt numFmtId="167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1" fillId="11" borderId="0" applyNumberFormat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 vertical="center"/>
    </xf>
    <xf numFmtId="165" fontId="3" fillId="0" borderId="1" xfId="2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4" fillId="0" borderId="0" xfId="2" applyNumberFormat="1" applyFont="1" applyAlignment="1">
      <alignment horizontal="center" vertical="center"/>
    </xf>
    <xf numFmtId="166" fontId="0" fillId="4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3" fillId="5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6" fontId="0" fillId="0" borderId="0" xfId="0" applyNumberFormat="1"/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166" fontId="3" fillId="6" borderId="8" xfId="0" applyNumberFormat="1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166" fontId="0" fillId="0" borderId="0" xfId="0" applyNumberFormat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7" fontId="3" fillId="6" borderId="1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9" fontId="0" fillId="0" borderId="3" xfId="2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166" fontId="0" fillId="0" borderId="2" xfId="0" applyNumberFormat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/>
    </xf>
    <xf numFmtId="166" fontId="6" fillId="6" borderId="10" xfId="3" applyNumberFormat="1" applyFont="1" applyFill="1" applyBorder="1" applyAlignment="1">
      <alignment horizontal="center" vertical="center"/>
    </xf>
    <xf numFmtId="0" fontId="9" fillId="10" borderId="5" xfId="4" applyFont="1" applyFill="1" applyBorder="1" applyAlignment="1">
      <alignment horizontal="center" vertical="center"/>
    </xf>
    <xf numFmtId="166" fontId="9" fillId="10" borderId="6" xfId="4" applyNumberFormat="1" applyFont="1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10" fillId="0" borderId="0" xfId="0" applyFont="1"/>
    <xf numFmtId="0" fontId="3" fillId="0" borderId="11" xfId="0" applyFont="1" applyBorder="1" applyAlignment="1">
      <alignment horizontal="centerContinuous"/>
    </xf>
    <xf numFmtId="0" fontId="3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1" xfId="0" applyFont="1" applyBorder="1"/>
    <xf numFmtId="0" fontId="0" fillId="8" borderId="1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6" fontId="0" fillId="4" borderId="6" xfId="0" applyNumberFormat="1" applyFill="1" applyBorder="1" applyAlignment="1">
      <alignment horizontal="center" vertical="center"/>
    </xf>
    <xf numFmtId="166" fontId="0" fillId="4" borderId="12" xfId="0" applyNumberForma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6" fontId="2" fillId="2" borderId="1" xfId="3" applyNumberFormat="1" applyBorder="1" applyAlignment="1">
      <alignment horizontal="center" vertical="center"/>
    </xf>
    <xf numFmtId="166" fontId="12" fillId="12" borderId="0" xfId="0" applyNumberFormat="1" applyFont="1" applyFill="1" applyAlignment="1">
      <alignment horizontal="center" vertical="center"/>
    </xf>
    <xf numFmtId="166" fontId="12" fillId="13" borderId="0" xfId="5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66" fontId="12" fillId="0" borderId="8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9" fontId="4" fillId="0" borderId="0" xfId="2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166" fontId="6" fillId="5" borderId="0" xfId="5" applyNumberFormat="1" applyFont="1" applyFill="1" applyAlignment="1">
      <alignment horizontal="center" vertical="center"/>
    </xf>
    <xf numFmtId="166" fontId="6" fillId="5" borderId="0" xfId="0" applyNumberFormat="1" applyFont="1" applyFill="1" applyAlignment="1">
      <alignment horizontal="center" vertical="center"/>
    </xf>
    <xf numFmtId="9" fontId="6" fillId="5" borderId="0" xfId="2" applyFont="1" applyFill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166" fontId="6" fillId="6" borderId="1" xfId="3" applyNumberFormat="1" applyFont="1" applyFill="1" applyBorder="1" applyAlignment="1">
      <alignment horizontal="center" vertical="center"/>
    </xf>
    <xf numFmtId="9" fontId="6" fillId="6" borderId="1" xfId="2" applyFont="1" applyFill="1" applyBorder="1" applyAlignment="1">
      <alignment horizontal="center" vertical="center"/>
    </xf>
    <xf numFmtId="166" fontId="6" fillId="6" borderId="1" xfId="0" applyNumberFormat="1" applyFont="1" applyFill="1" applyBorder="1" applyAlignment="1">
      <alignment horizontal="center" vertical="center"/>
    </xf>
    <xf numFmtId="9" fontId="0" fillId="0" borderId="0" xfId="0" applyNumberFormat="1"/>
    <xf numFmtId="10" fontId="0" fillId="0" borderId="0" xfId="0" applyNumberFormat="1"/>
    <xf numFmtId="165" fontId="0" fillId="0" borderId="0" xfId="2" applyNumberFormat="1" applyFont="1"/>
    <xf numFmtId="167" fontId="0" fillId="0" borderId="0" xfId="0" applyNumberFormat="1"/>
    <xf numFmtId="0" fontId="3" fillId="0" borderId="1" xfId="0" applyFont="1" applyBorder="1"/>
    <xf numFmtId="0" fontId="3" fillId="0" borderId="0" xfId="0" applyFont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0" applyFont="1"/>
    <xf numFmtId="166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4" fontId="0" fillId="14" borderId="0" xfId="0" applyNumberForma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9" fontId="3" fillId="15" borderId="1" xfId="2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3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9" fontId="3" fillId="0" borderId="1" xfId="2" applyFont="1" applyFill="1" applyBorder="1" applyAlignment="1">
      <alignment horizontal="center" vertical="center"/>
    </xf>
    <xf numFmtId="9" fontId="3" fillId="16" borderId="1" xfId="2" applyFont="1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14" fontId="0" fillId="17" borderId="0" xfId="0" applyNumberFormat="1" applyFill="1" applyAlignment="1">
      <alignment horizontal="center" vertical="center"/>
    </xf>
    <xf numFmtId="166" fontId="0" fillId="17" borderId="0" xfId="0" applyNumberFormat="1" applyFill="1" applyAlignment="1">
      <alignment horizontal="center" vertical="center"/>
    </xf>
    <xf numFmtId="9" fontId="3" fillId="17" borderId="0" xfId="2" applyFont="1" applyFill="1" applyBorder="1" applyAlignment="1">
      <alignment horizontal="center" vertical="center"/>
    </xf>
    <xf numFmtId="165" fontId="12" fillId="12" borderId="0" xfId="2" applyNumberFormat="1" applyFont="1" applyFill="1" applyAlignment="1">
      <alignment horizontal="center" vertical="center"/>
    </xf>
    <xf numFmtId="166" fontId="6" fillId="7" borderId="0" xfId="5" applyNumberFormat="1" applyFont="1" applyFill="1" applyAlignment="1">
      <alignment horizontal="center" vertical="center"/>
    </xf>
    <xf numFmtId="166" fontId="6" fillId="7" borderId="0" xfId="0" applyNumberFormat="1" applyFont="1" applyFill="1" applyAlignment="1">
      <alignment horizontal="center" vertical="center"/>
    </xf>
    <xf numFmtId="9" fontId="6" fillId="7" borderId="0" xfId="2" applyFont="1" applyFill="1" applyAlignment="1">
      <alignment horizontal="center" vertical="center"/>
    </xf>
    <xf numFmtId="0" fontId="18" fillId="7" borderId="0" xfId="0" applyFont="1" applyFill="1"/>
    <xf numFmtId="166" fontId="18" fillId="7" borderId="0" xfId="0" applyNumberFormat="1" applyFont="1" applyFill="1"/>
    <xf numFmtId="165" fontId="6" fillId="7" borderId="0" xfId="2" applyNumberFormat="1" applyFont="1" applyFill="1" applyAlignment="1">
      <alignment horizontal="center" vertical="center"/>
    </xf>
    <xf numFmtId="166" fontId="18" fillId="7" borderId="0" xfId="0" applyNumberFormat="1" applyFont="1" applyFill="1" applyAlignment="1">
      <alignment horizontal="center" vertical="center"/>
    </xf>
    <xf numFmtId="0" fontId="18" fillId="0" borderId="0" xfId="0" applyFont="1"/>
    <xf numFmtId="165" fontId="0" fillId="0" borderId="0" xfId="2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9" fontId="0" fillId="0" borderId="0" xfId="2" applyFont="1"/>
    <xf numFmtId="0" fontId="18" fillId="0" borderId="11" xfId="0" applyFont="1" applyBorder="1"/>
    <xf numFmtId="0" fontId="6" fillId="0" borderId="11" xfId="0" applyFont="1" applyBorder="1" applyAlignment="1">
      <alignment horizontal="center" vertical="center"/>
    </xf>
    <xf numFmtId="166" fontId="6" fillId="17" borderId="11" xfId="0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6">
    <cellStyle name="40% - Accent1" xfId="4" builtinId="31"/>
    <cellStyle name="Bad" xfId="5" builtinId="27"/>
    <cellStyle name="Comma" xfId="1" builtinId="3"/>
    <cellStyle name="Good" xfId="3" builtinId="2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745E-44FA-4E4C-B27E-EE03AA115E2C}">
  <dimension ref="A1:D27"/>
  <sheetViews>
    <sheetView tabSelected="1" zoomScale="190" zoomScaleNormal="190" workbookViewId="0">
      <selection activeCell="D12" sqref="D12"/>
    </sheetView>
  </sheetViews>
  <sheetFormatPr defaultRowHeight="14.4" x14ac:dyDescent="0.3"/>
  <cols>
    <col min="1" max="1" width="11.5546875" style="9" customWidth="1"/>
    <col min="2" max="2" width="11.5546875" customWidth="1"/>
    <col min="3" max="3" width="19.21875" customWidth="1"/>
    <col min="4" max="4" width="27.21875" style="35" customWidth="1"/>
    <col min="5" max="8" width="30.21875" customWidth="1"/>
  </cols>
  <sheetData>
    <row r="1" spans="1:4" x14ac:dyDescent="0.3">
      <c r="A1" s="36" t="s">
        <v>0</v>
      </c>
      <c r="B1" s="36"/>
      <c r="C1" s="37" t="s">
        <v>1</v>
      </c>
      <c r="D1" s="38" t="s">
        <v>2</v>
      </c>
    </row>
    <row r="2" spans="1:4" x14ac:dyDescent="0.3">
      <c r="A2" s="39">
        <v>1</v>
      </c>
      <c r="B2" s="39">
        <v>2</v>
      </c>
      <c r="C2" s="40">
        <v>45674</v>
      </c>
      <c r="D2" s="41" t="s">
        <v>3</v>
      </c>
    </row>
    <row r="3" spans="1:4" x14ac:dyDescent="0.3">
      <c r="A3" s="39">
        <v>3</v>
      </c>
      <c r="B3" s="39">
        <v>4</v>
      </c>
      <c r="C3" s="40">
        <f>+C2+14</f>
        <v>45688</v>
      </c>
      <c r="D3" s="42"/>
    </row>
    <row r="4" spans="1:4" x14ac:dyDescent="0.3">
      <c r="A4" s="39">
        <v>5</v>
      </c>
      <c r="B4" s="39">
        <v>6</v>
      </c>
      <c r="C4" s="40">
        <f t="shared" ref="C4:C27" si="0">+C3+14</f>
        <v>45702</v>
      </c>
      <c r="D4" s="41" t="s">
        <v>4</v>
      </c>
    </row>
    <row r="5" spans="1:4" x14ac:dyDescent="0.3">
      <c r="A5" s="39">
        <v>7</v>
      </c>
      <c r="B5" s="39">
        <v>8</v>
      </c>
      <c r="C5" s="40">
        <f t="shared" si="0"/>
        <v>45716</v>
      </c>
      <c r="D5" s="41"/>
    </row>
    <row r="6" spans="1:4" x14ac:dyDescent="0.3">
      <c r="A6" s="39">
        <v>9</v>
      </c>
      <c r="B6" s="39">
        <v>10</v>
      </c>
      <c r="C6" s="40">
        <f t="shared" si="0"/>
        <v>45730</v>
      </c>
      <c r="D6" s="41" t="s">
        <v>5</v>
      </c>
    </row>
    <row r="7" spans="1:4" x14ac:dyDescent="0.3">
      <c r="A7" s="39">
        <v>11</v>
      </c>
      <c r="B7" s="39">
        <v>12</v>
      </c>
      <c r="C7" s="40">
        <f t="shared" si="0"/>
        <v>45744</v>
      </c>
      <c r="D7" s="41"/>
    </row>
    <row r="8" spans="1:4" x14ac:dyDescent="0.3">
      <c r="A8" s="43">
        <v>13</v>
      </c>
      <c r="B8" s="43">
        <v>14</v>
      </c>
      <c r="C8" s="40">
        <f t="shared" si="0"/>
        <v>45758</v>
      </c>
      <c r="D8" s="41" t="s">
        <v>6</v>
      </c>
    </row>
    <row r="9" spans="1:4" x14ac:dyDescent="0.3">
      <c r="A9" s="43">
        <v>15</v>
      </c>
      <c r="B9" s="43">
        <v>16</v>
      </c>
      <c r="C9" s="40">
        <f t="shared" si="0"/>
        <v>45772</v>
      </c>
      <c r="D9" s="41"/>
    </row>
    <row r="10" spans="1:4" x14ac:dyDescent="0.3">
      <c r="A10" s="43">
        <v>17</v>
      </c>
      <c r="B10" s="43">
        <v>18</v>
      </c>
      <c r="C10" s="40">
        <f t="shared" si="0"/>
        <v>45786</v>
      </c>
      <c r="D10" s="41" t="s">
        <v>7</v>
      </c>
    </row>
    <row r="11" spans="1:4" x14ac:dyDescent="0.3">
      <c r="A11" s="43">
        <v>19</v>
      </c>
      <c r="B11" s="43">
        <v>20</v>
      </c>
      <c r="C11" s="40">
        <f t="shared" si="0"/>
        <v>45800</v>
      </c>
      <c r="D11" s="41"/>
    </row>
    <row r="12" spans="1:4" x14ac:dyDescent="0.3">
      <c r="A12" s="43">
        <v>21</v>
      </c>
      <c r="B12" s="43">
        <v>22</v>
      </c>
      <c r="C12" s="40">
        <f t="shared" si="0"/>
        <v>45814</v>
      </c>
      <c r="D12" s="41" t="s">
        <v>8</v>
      </c>
    </row>
    <row r="13" spans="1:4" x14ac:dyDescent="0.3">
      <c r="A13" s="43">
        <v>23</v>
      </c>
      <c r="B13" s="43">
        <v>24</v>
      </c>
      <c r="C13" s="40">
        <f t="shared" si="0"/>
        <v>45828</v>
      </c>
      <c r="D13" s="41"/>
    </row>
    <row r="14" spans="1:4" x14ac:dyDescent="0.3">
      <c r="A14" s="43">
        <v>25</v>
      </c>
      <c r="B14" s="43">
        <v>26</v>
      </c>
      <c r="C14" s="40">
        <f t="shared" si="0"/>
        <v>45842</v>
      </c>
      <c r="D14" s="41" t="s">
        <v>9</v>
      </c>
    </row>
    <row r="15" spans="1:4" x14ac:dyDescent="0.3">
      <c r="A15" s="44">
        <v>27</v>
      </c>
      <c r="B15" s="44">
        <v>28</v>
      </c>
      <c r="C15" s="40">
        <f t="shared" si="0"/>
        <v>45856</v>
      </c>
      <c r="D15" s="41" t="s">
        <v>10</v>
      </c>
    </row>
    <row r="16" spans="1:4" x14ac:dyDescent="0.3">
      <c r="A16" s="44">
        <v>29</v>
      </c>
      <c r="B16" s="44">
        <v>30</v>
      </c>
      <c r="C16" s="40">
        <f t="shared" si="0"/>
        <v>45870</v>
      </c>
      <c r="D16" s="41"/>
    </row>
    <row r="17" spans="1:4" x14ac:dyDescent="0.3">
      <c r="A17" s="44">
        <v>31</v>
      </c>
      <c r="B17" s="44">
        <v>32</v>
      </c>
      <c r="C17" s="40">
        <f t="shared" si="0"/>
        <v>45884</v>
      </c>
      <c r="D17" s="41" t="s">
        <v>11</v>
      </c>
    </row>
    <row r="18" spans="1:4" x14ac:dyDescent="0.3">
      <c r="A18" s="44">
        <v>33</v>
      </c>
      <c r="B18" s="44">
        <v>34</v>
      </c>
      <c r="C18" s="40">
        <f t="shared" si="0"/>
        <v>45898</v>
      </c>
      <c r="D18" s="41"/>
    </row>
    <row r="19" spans="1:4" x14ac:dyDescent="0.3">
      <c r="A19" s="44">
        <v>35</v>
      </c>
      <c r="B19" s="44">
        <v>36</v>
      </c>
      <c r="C19" s="40">
        <f t="shared" si="0"/>
        <v>45912</v>
      </c>
      <c r="D19" s="41" t="s">
        <v>12</v>
      </c>
    </row>
    <row r="20" spans="1:4" x14ac:dyDescent="0.3">
      <c r="A20" s="44">
        <v>37</v>
      </c>
      <c r="B20" s="44">
        <v>38</v>
      </c>
      <c r="C20" s="40">
        <f t="shared" si="0"/>
        <v>45926</v>
      </c>
      <c r="D20" s="41"/>
    </row>
    <row r="21" spans="1:4" x14ac:dyDescent="0.3">
      <c r="A21" s="45">
        <v>39</v>
      </c>
      <c r="B21" s="45">
        <v>40</v>
      </c>
      <c r="C21" s="40">
        <f t="shared" si="0"/>
        <v>45940</v>
      </c>
      <c r="D21" s="41" t="s">
        <v>13</v>
      </c>
    </row>
    <row r="22" spans="1:4" x14ac:dyDescent="0.3">
      <c r="A22" s="45">
        <v>41</v>
      </c>
      <c r="B22" s="45">
        <v>42</v>
      </c>
      <c r="C22" s="40">
        <f t="shared" si="0"/>
        <v>45954</v>
      </c>
      <c r="D22" s="41"/>
    </row>
    <row r="23" spans="1:4" x14ac:dyDescent="0.3">
      <c r="A23" s="45">
        <v>43</v>
      </c>
      <c r="B23" s="45">
        <v>44</v>
      </c>
      <c r="C23" s="40">
        <f t="shared" si="0"/>
        <v>45968</v>
      </c>
      <c r="D23" s="41" t="s">
        <v>14</v>
      </c>
    </row>
    <row r="24" spans="1:4" x14ac:dyDescent="0.3">
      <c r="A24" s="45">
        <v>45</v>
      </c>
      <c r="B24" s="45">
        <v>46</v>
      </c>
      <c r="C24" s="40">
        <f t="shared" si="0"/>
        <v>45982</v>
      </c>
      <c r="D24" s="41"/>
    </row>
    <row r="25" spans="1:4" x14ac:dyDescent="0.3">
      <c r="A25" s="45">
        <v>47</v>
      </c>
      <c r="B25" s="45">
        <v>48</v>
      </c>
      <c r="C25" s="40">
        <f t="shared" si="0"/>
        <v>45996</v>
      </c>
      <c r="D25" s="41" t="s">
        <v>15</v>
      </c>
    </row>
    <row r="26" spans="1:4" x14ac:dyDescent="0.3">
      <c r="A26" s="45">
        <v>49</v>
      </c>
      <c r="B26" s="45">
        <v>50</v>
      </c>
      <c r="C26" s="40">
        <f t="shared" si="0"/>
        <v>46010</v>
      </c>
      <c r="D26" s="41"/>
    </row>
    <row r="27" spans="1:4" x14ac:dyDescent="0.3">
      <c r="A27" s="45">
        <v>51</v>
      </c>
      <c r="B27" s="45">
        <v>52</v>
      </c>
      <c r="C27" s="40">
        <f t="shared" si="0"/>
        <v>46024</v>
      </c>
      <c r="D27" s="4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2DAFB-91D1-4F61-B741-FAB2DC061D9C}">
  <dimension ref="A2:Y52"/>
  <sheetViews>
    <sheetView topLeftCell="A10" zoomScale="150" zoomScaleNormal="150" workbookViewId="0">
      <pane xSplit="1" topLeftCell="O1" activePane="topRight" state="frozen"/>
      <selection pane="topRight" activeCell="R40" sqref="R40"/>
    </sheetView>
  </sheetViews>
  <sheetFormatPr defaultRowHeight="14.4" x14ac:dyDescent="0.3"/>
  <cols>
    <col min="1" max="1" width="19.21875" bestFit="1" customWidth="1"/>
    <col min="2" max="2" width="3.21875" customWidth="1"/>
    <col min="3" max="3" width="9.109375" bestFit="1" customWidth="1"/>
    <col min="4" max="4" width="20.5546875" bestFit="1" customWidth="1"/>
    <col min="5" max="5" width="18.77734375" bestFit="1" customWidth="1"/>
    <col min="6" max="6" width="12.21875" bestFit="1" customWidth="1"/>
    <col min="7" max="7" width="16.21875" bestFit="1" customWidth="1"/>
    <col min="8" max="8" width="16.77734375" customWidth="1"/>
    <col min="9" max="13" width="28.109375" customWidth="1"/>
    <col min="14" max="15" width="16.77734375" customWidth="1"/>
    <col min="16" max="21" width="18.109375" customWidth="1"/>
    <col min="22" max="23" width="16.77734375" customWidth="1"/>
    <col min="24" max="24" width="20.109375" customWidth="1"/>
  </cols>
  <sheetData>
    <row r="2" spans="1:24" x14ac:dyDescent="0.3">
      <c r="A2" t="s">
        <v>16</v>
      </c>
      <c r="C2" s="9">
        <v>840000</v>
      </c>
    </row>
    <row r="3" spans="1:24" x14ac:dyDescent="0.3">
      <c r="A3" t="s">
        <v>17</v>
      </c>
      <c r="C3" s="9">
        <f>C2/52</f>
        <v>16153.846153846154</v>
      </c>
    </row>
    <row r="4" spans="1:24" x14ac:dyDescent="0.3">
      <c r="A4" t="s">
        <v>18</v>
      </c>
      <c r="C4" s="9">
        <f>+$C$2*D4</f>
        <v>162708</v>
      </c>
      <c r="D4" s="70">
        <v>0.19370000000000001</v>
      </c>
      <c r="G4" s="69"/>
    </row>
    <row r="5" spans="1:24" x14ac:dyDescent="0.3">
      <c r="A5" t="s">
        <v>69</v>
      </c>
      <c r="C5" s="9">
        <f t="shared" ref="C5:C7" si="0">+$C$2*D5</f>
        <v>218651.99999999997</v>
      </c>
      <c r="D5" s="70">
        <v>0.26029999999999998</v>
      </c>
    </row>
    <row r="6" spans="1:24" x14ac:dyDescent="0.3">
      <c r="A6" t="s">
        <v>70</v>
      </c>
      <c r="C6" s="9">
        <f t="shared" si="0"/>
        <v>204708</v>
      </c>
      <c r="D6" s="70">
        <v>0.2437</v>
      </c>
    </row>
    <row r="7" spans="1:24" x14ac:dyDescent="0.3">
      <c r="A7" t="s">
        <v>71</v>
      </c>
      <c r="C7" s="9">
        <f t="shared" si="0"/>
        <v>253932</v>
      </c>
      <c r="D7" s="70">
        <v>0.30230000000000001</v>
      </c>
    </row>
    <row r="8" spans="1:24" x14ac:dyDescent="0.3">
      <c r="C8" s="9"/>
      <c r="E8" s="68"/>
    </row>
    <row r="9" spans="1:24" x14ac:dyDescent="0.3">
      <c r="C9" s="9"/>
      <c r="E9" t="s">
        <v>19</v>
      </c>
    </row>
    <row r="10" spans="1:24" x14ac:dyDescent="0.3"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s="52" t="s">
        <v>25</v>
      </c>
      <c r="I10" s="52" t="s">
        <v>68</v>
      </c>
      <c r="J10" s="52" t="s">
        <v>26</v>
      </c>
      <c r="K10" s="52" t="s">
        <v>67</v>
      </c>
      <c r="L10" s="52" t="s">
        <v>33</v>
      </c>
      <c r="M10" s="52" t="s">
        <v>27</v>
      </c>
      <c r="N10" s="52"/>
      <c r="O10" s="52" t="s">
        <v>28</v>
      </c>
      <c r="P10" s="52" t="s">
        <v>120</v>
      </c>
      <c r="Q10" s="52" t="s">
        <v>110</v>
      </c>
      <c r="R10" s="52" t="s">
        <v>111</v>
      </c>
      <c r="S10" s="52" t="s">
        <v>122</v>
      </c>
      <c r="T10" s="104" t="s">
        <v>123</v>
      </c>
      <c r="U10" s="104" t="s">
        <v>124</v>
      </c>
      <c r="V10" s="52" t="s">
        <v>29</v>
      </c>
      <c r="W10" s="52" t="s">
        <v>112</v>
      </c>
      <c r="X10" s="52" t="s">
        <v>30</v>
      </c>
    </row>
    <row r="11" spans="1:24" x14ac:dyDescent="0.3">
      <c r="A11" t="s">
        <v>115</v>
      </c>
      <c r="C11" s="9">
        <f>31678.21+19473.34</f>
        <v>51151.55</v>
      </c>
      <c r="D11" s="9">
        <v>2672.39</v>
      </c>
      <c r="E11" s="9">
        <f t="shared" ref="E11:F15" si="1">+C11/0.88</f>
        <v>58126.761363636368</v>
      </c>
      <c r="F11" s="9">
        <f t="shared" si="1"/>
        <v>3036.806818181818</v>
      </c>
      <c r="G11" s="9">
        <f>E11+F11</f>
        <v>61163.568181818184</v>
      </c>
      <c r="H11" s="51">
        <f>+G11/52</f>
        <v>1176.2224650349651</v>
      </c>
      <c r="I11" s="61">
        <f>+(9709.67)+(2402.45)+(7257.5)</f>
        <v>19369.62</v>
      </c>
      <c r="J11" s="62">
        <v>14400</v>
      </c>
      <c r="K11" s="62"/>
      <c r="L11" s="62">
        <f>+J11/12</f>
        <v>1200</v>
      </c>
      <c r="M11" s="50">
        <v>1200</v>
      </c>
      <c r="N11" s="50"/>
      <c r="O11" s="50">
        <v>1400</v>
      </c>
      <c r="P11" s="50">
        <f>O11*12</f>
        <v>16800</v>
      </c>
      <c r="Q11" s="50">
        <v>15470.45</v>
      </c>
      <c r="R11" s="94">
        <f t="shared" ref="R11:R17" si="2">+Q11/P11</f>
        <v>0.92086011904761911</v>
      </c>
      <c r="S11" s="50"/>
      <c r="T11" s="94">
        <f>17405/Q11</f>
        <v>1.1250480755246293</v>
      </c>
      <c r="U11" s="50">
        <f>+Q11*(1-T11)</f>
        <v>-1934.5500000000009</v>
      </c>
      <c r="V11" s="50">
        <f>+V30+Y30</f>
        <v>1719.2605843768636</v>
      </c>
      <c r="W11" s="50">
        <f>14*V11</f>
        <v>24069.64818127609</v>
      </c>
      <c r="X11" s="22">
        <f t="shared" ref="X11:X20" si="3">(J11*12)+(M11*14)+(O11*12)+(V11*14)</f>
        <v>230469.6481812761</v>
      </c>
    </row>
    <row r="12" spans="1:24" x14ac:dyDescent="0.3">
      <c r="A12" t="s">
        <v>73</v>
      </c>
      <c r="C12" s="9">
        <f>87744.15+37428.49</f>
        <v>125172.63999999998</v>
      </c>
      <c r="D12" s="9">
        <v>16189.96</v>
      </c>
      <c r="E12" s="9">
        <f t="shared" si="1"/>
        <v>142241.63636363635</v>
      </c>
      <c r="F12" s="9">
        <f t="shared" si="1"/>
        <v>18397.681818181816</v>
      </c>
      <c r="G12" s="9">
        <f>E12+F12</f>
        <v>160639.31818181818</v>
      </c>
      <c r="H12" s="51">
        <f>+G12/52</f>
        <v>3089.2176573426573</v>
      </c>
      <c r="I12" s="61">
        <f>3631*12</f>
        <v>43572</v>
      </c>
      <c r="J12" s="62">
        <v>36000</v>
      </c>
      <c r="K12" s="63">
        <f>+I12/J12</f>
        <v>1.2103333333333333</v>
      </c>
      <c r="L12" s="62">
        <f t="shared" ref="L12:L19" si="4">+J12/12</f>
        <v>3000</v>
      </c>
      <c r="M12" s="50">
        <v>3200</v>
      </c>
      <c r="N12" s="50"/>
      <c r="O12" s="50">
        <v>3200</v>
      </c>
      <c r="P12" s="50">
        <f t="shared" ref="P12:P19" si="5">O12*12</f>
        <v>38400</v>
      </c>
      <c r="Q12" s="50">
        <f>3556.84*12</f>
        <v>42682.080000000002</v>
      </c>
      <c r="R12" s="94">
        <f t="shared" si="2"/>
        <v>1.1115125000000001</v>
      </c>
      <c r="S12" s="50">
        <v>100000</v>
      </c>
      <c r="T12" s="94">
        <f>25650/Q12</f>
        <v>0.60095478008569403</v>
      </c>
      <c r="U12" s="50">
        <f>+Q12*(1-T12)</f>
        <v>17032.080000000002</v>
      </c>
      <c r="V12" s="50">
        <f t="shared" ref="V12:V18" si="6">+V31+Y31</f>
        <v>3438.5211687537271</v>
      </c>
      <c r="W12" s="50">
        <f t="shared" ref="W12:W18" si="7">14*V12</f>
        <v>48139.296362552181</v>
      </c>
      <c r="X12" s="22">
        <f t="shared" si="3"/>
        <v>563339.29636255221</v>
      </c>
    </row>
    <row r="13" spans="1:24" x14ac:dyDescent="0.3">
      <c r="A13" t="s">
        <v>74</v>
      </c>
      <c r="C13" s="9">
        <f>65702+28932.07</f>
        <v>94634.07</v>
      </c>
      <c r="D13" s="9">
        <v>15695.43</v>
      </c>
      <c r="E13" s="9">
        <f t="shared" si="1"/>
        <v>107538.71590909091</v>
      </c>
      <c r="F13" s="9">
        <f t="shared" si="1"/>
        <v>17835.715909090908</v>
      </c>
      <c r="G13" s="9">
        <f>E13+F13</f>
        <v>125374.43181818182</v>
      </c>
      <c r="H13" s="51">
        <f>+G13/52</f>
        <v>2411.046765734266</v>
      </c>
      <c r="I13" s="61">
        <f>2862*12</f>
        <v>34344</v>
      </c>
      <c r="J13" s="62">
        <v>36000</v>
      </c>
      <c r="K13" s="63">
        <f t="shared" ref="K13:K19" si="8">+I13/J13</f>
        <v>0.95399999999999996</v>
      </c>
      <c r="L13" s="62">
        <f t="shared" si="4"/>
        <v>3000</v>
      </c>
      <c r="M13" s="50">
        <v>3000</v>
      </c>
      <c r="N13" s="50"/>
      <c r="O13" s="50">
        <v>3000</v>
      </c>
      <c r="P13" s="50">
        <f t="shared" si="5"/>
        <v>36000</v>
      </c>
      <c r="Q13" s="50">
        <f>2487.81*12</f>
        <v>29853.72</v>
      </c>
      <c r="R13" s="94">
        <f t="shared" si="2"/>
        <v>0.82927000000000006</v>
      </c>
      <c r="S13" s="50">
        <v>90000</v>
      </c>
      <c r="T13" s="94">
        <f>17223/Q13</f>
        <v>0.57691302792415822</v>
      </c>
      <c r="U13" s="50">
        <f t="shared" ref="U13:U18" si="9">+Q13*(1-T13)</f>
        <v>12630.72</v>
      </c>
      <c r="V13" s="50">
        <f t="shared" si="6"/>
        <v>3223.613595706619</v>
      </c>
      <c r="W13" s="50">
        <f t="shared" si="7"/>
        <v>45130.590339892668</v>
      </c>
      <c r="X13" s="22">
        <f t="shared" si="3"/>
        <v>555130.59033989266</v>
      </c>
    </row>
    <row r="14" spans="1:24" x14ac:dyDescent="0.3">
      <c r="A14" t="s">
        <v>75</v>
      </c>
      <c r="C14" s="9">
        <f>49779+15619.25</f>
        <v>65398.25</v>
      </c>
      <c r="D14" s="9">
        <v>2371</v>
      </c>
      <c r="E14" s="9">
        <f t="shared" si="1"/>
        <v>74316.193181818177</v>
      </c>
      <c r="F14" s="9">
        <f t="shared" si="1"/>
        <v>2694.318181818182</v>
      </c>
      <c r="G14" s="9">
        <f>E14+F14</f>
        <v>77010.511363636353</v>
      </c>
      <c r="H14" s="51">
        <f>+G14/52</f>
        <v>1480.9713723776222</v>
      </c>
      <c r="I14" s="61">
        <f>2003*12</f>
        <v>24036</v>
      </c>
      <c r="J14" s="62">
        <v>30000</v>
      </c>
      <c r="K14" s="63">
        <f t="shared" si="8"/>
        <v>0.80120000000000002</v>
      </c>
      <c r="L14" s="62">
        <f t="shared" si="4"/>
        <v>2500</v>
      </c>
      <c r="M14" s="50">
        <v>2500</v>
      </c>
      <c r="N14" s="50"/>
      <c r="O14" s="50">
        <v>2600</v>
      </c>
      <c r="P14" s="50">
        <f t="shared" si="5"/>
        <v>31200</v>
      </c>
      <c r="Q14" s="50">
        <v>5213.25</v>
      </c>
      <c r="R14" s="94">
        <f t="shared" si="2"/>
        <v>0.16709134615384616</v>
      </c>
      <c r="S14" s="50">
        <v>0</v>
      </c>
      <c r="T14" s="94">
        <f>8076.92/Q14</f>
        <v>1.5493060950462763</v>
      </c>
      <c r="U14" s="50">
        <f t="shared" si="9"/>
        <v>-2863.6699999999996</v>
      </c>
      <c r="V14" s="50">
        <f t="shared" si="6"/>
        <v>0</v>
      </c>
      <c r="W14" s="50">
        <f t="shared" si="7"/>
        <v>0</v>
      </c>
      <c r="X14" s="22">
        <f t="shared" si="3"/>
        <v>426200</v>
      </c>
    </row>
    <row r="15" spans="1:24" x14ac:dyDescent="0.3">
      <c r="A15" t="s">
        <v>76</v>
      </c>
      <c r="C15" s="9">
        <f>64995.91+25470.64</f>
        <v>90466.55</v>
      </c>
      <c r="D15" s="9">
        <v>8183</v>
      </c>
      <c r="E15" s="9">
        <f t="shared" si="1"/>
        <v>102802.89772727274</v>
      </c>
      <c r="F15" s="9">
        <f t="shared" si="1"/>
        <v>9298.863636363636</v>
      </c>
      <c r="G15" s="9">
        <f>E15+F15</f>
        <v>112101.76136363637</v>
      </c>
      <c r="H15" s="51">
        <f>+G15/52</f>
        <v>2155.8031031468531</v>
      </c>
      <c r="I15" s="61">
        <f>2131*12</f>
        <v>25572</v>
      </c>
      <c r="J15" s="62">
        <v>31200</v>
      </c>
      <c r="K15" s="63">
        <f t="shared" si="8"/>
        <v>0.81961538461538463</v>
      </c>
      <c r="L15" s="62">
        <f t="shared" si="4"/>
        <v>2600</v>
      </c>
      <c r="M15" s="50">
        <v>2600</v>
      </c>
      <c r="N15" s="50"/>
      <c r="O15" s="50">
        <v>2600</v>
      </c>
      <c r="P15" s="50">
        <f t="shared" si="5"/>
        <v>31200</v>
      </c>
      <c r="Q15" s="50">
        <v>30563</v>
      </c>
      <c r="R15" s="94">
        <f>+Q15/P15</f>
        <v>0.97958333333333336</v>
      </c>
      <c r="S15" s="50">
        <v>75000</v>
      </c>
      <c r="T15" s="94">
        <f>16954/Q15</f>
        <v>0.55472303111605537</v>
      </c>
      <c r="U15" s="50">
        <f t="shared" si="9"/>
        <v>13609</v>
      </c>
      <c r="V15" s="50">
        <f t="shared" si="6"/>
        <v>2793.7984496124031</v>
      </c>
      <c r="W15" s="50">
        <f t="shared" si="7"/>
        <v>39113.178294573641</v>
      </c>
      <c r="X15" s="22">
        <f t="shared" si="3"/>
        <v>481113.17829457362</v>
      </c>
    </row>
    <row r="16" spans="1:24" x14ac:dyDescent="0.3">
      <c r="A16" t="s">
        <v>77</v>
      </c>
      <c r="C16" s="9"/>
      <c r="D16" s="9"/>
      <c r="E16" s="9"/>
      <c r="I16" s="61">
        <f>2227*12</f>
        <v>26724</v>
      </c>
      <c r="J16" s="62">
        <v>30000</v>
      </c>
      <c r="K16" s="63">
        <f t="shared" si="8"/>
        <v>0.89080000000000004</v>
      </c>
      <c r="L16" s="62">
        <f t="shared" si="4"/>
        <v>2500</v>
      </c>
      <c r="M16" s="50">
        <v>3000</v>
      </c>
      <c r="N16" s="50"/>
      <c r="O16" s="50">
        <v>2500</v>
      </c>
      <c r="P16" s="50">
        <f t="shared" si="5"/>
        <v>30000</v>
      </c>
      <c r="Q16" s="50">
        <f>2808.59*12</f>
        <v>33703.08</v>
      </c>
      <c r="R16" s="94">
        <f t="shared" si="2"/>
        <v>1.1234360000000001</v>
      </c>
      <c r="S16" s="50">
        <v>90000</v>
      </c>
      <c r="T16" s="94">
        <f>23333/Q16</f>
        <v>0.69231061374806102</v>
      </c>
      <c r="U16" s="50">
        <f t="shared" si="9"/>
        <v>10370.08</v>
      </c>
      <c r="V16" s="50">
        <f t="shared" si="6"/>
        <v>3223.613595706619</v>
      </c>
      <c r="W16" s="50">
        <f t="shared" si="7"/>
        <v>45130.590339892668</v>
      </c>
      <c r="X16" s="22">
        <f t="shared" si="3"/>
        <v>477130.59033989266</v>
      </c>
    </row>
    <row r="17" spans="1:25" x14ac:dyDescent="0.3">
      <c r="A17" t="s">
        <v>78</v>
      </c>
      <c r="C17" s="9"/>
      <c r="D17" s="9"/>
      <c r="E17" s="9"/>
      <c r="I17" s="61">
        <f>+(5652)+(349.85)+(3540.51)</f>
        <v>9542.36</v>
      </c>
      <c r="J17" s="62">
        <v>30000</v>
      </c>
      <c r="K17" s="63">
        <f t="shared" si="8"/>
        <v>0.31807866666666668</v>
      </c>
      <c r="L17" s="62">
        <f t="shared" si="4"/>
        <v>2500</v>
      </c>
      <c r="M17" s="50">
        <v>2750</v>
      </c>
      <c r="N17" s="50"/>
      <c r="O17" s="50">
        <v>2750</v>
      </c>
      <c r="P17" s="50">
        <f t="shared" si="5"/>
        <v>33000</v>
      </c>
      <c r="Q17" s="50">
        <f>4207.35*12</f>
        <v>50488.200000000004</v>
      </c>
      <c r="R17" s="94">
        <f t="shared" si="2"/>
        <v>1.5299454545454547</v>
      </c>
      <c r="S17" s="50">
        <v>100000</v>
      </c>
      <c r="T17" s="94">
        <f>35306/Q17</f>
        <v>0.69929211182018758</v>
      </c>
      <c r="U17" s="50">
        <f t="shared" si="9"/>
        <v>15182.200000000006</v>
      </c>
      <c r="V17" s="50">
        <f t="shared" si="6"/>
        <v>3438.5211687537271</v>
      </c>
      <c r="W17" s="50">
        <f t="shared" si="7"/>
        <v>48139.296362552181</v>
      </c>
      <c r="X17" s="22">
        <f t="shared" si="3"/>
        <v>479639.29636255221</v>
      </c>
    </row>
    <row r="18" spans="1:25" x14ac:dyDescent="0.3">
      <c r="A18" t="s">
        <v>119</v>
      </c>
      <c r="C18" s="9"/>
      <c r="D18" s="9"/>
      <c r="E18" s="9"/>
      <c r="I18" s="61"/>
      <c r="J18" s="62"/>
      <c r="K18" s="63"/>
      <c r="L18" s="62"/>
      <c r="M18" s="50"/>
      <c r="N18" s="50"/>
      <c r="O18" s="50"/>
      <c r="P18" s="50">
        <v>0</v>
      </c>
      <c r="Q18" s="50">
        <v>22822.560000000001</v>
      </c>
      <c r="R18" s="94"/>
      <c r="S18" s="50"/>
      <c r="T18" s="94">
        <f>17500/Q18</f>
        <v>0.76678514592578562</v>
      </c>
      <c r="U18" s="50">
        <f t="shared" si="9"/>
        <v>5322.5600000000022</v>
      </c>
      <c r="V18" s="50">
        <f t="shared" si="6"/>
        <v>2954.9791293977341</v>
      </c>
      <c r="W18" s="50">
        <f t="shared" si="7"/>
        <v>41369.707811568282</v>
      </c>
      <c r="X18" s="22"/>
    </row>
    <row r="19" spans="1:25" s="102" customFormat="1" x14ac:dyDescent="0.3">
      <c r="A19" s="98" t="s">
        <v>121</v>
      </c>
      <c r="B19" s="98"/>
      <c r="C19" s="99"/>
      <c r="D19" s="99"/>
      <c r="E19" s="99"/>
      <c r="F19" s="98"/>
      <c r="G19" s="98"/>
      <c r="H19" s="98"/>
      <c r="I19" s="95">
        <v>0</v>
      </c>
      <c r="J19" s="96">
        <v>30000</v>
      </c>
      <c r="K19" s="97">
        <f t="shared" si="8"/>
        <v>0</v>
      </c>
      <c r="L19" s="96">
        <f t="shared" si="4"/>
        <v>2500</v>
      </c>
      <c r="M19" s="96">
        <v>1750</v>
      </c>
      <c r="N19" s="96"/>
      <c r="O19" s="96"/>
      <c r="P19" s="96">
        <f t="shared" si="5"/>
        <v>0</v>
      </c>
      <c r="Q19" s="96">
        <v>-6735.74</v>
      </c>
      <c r="R19" s="100"/>
      <c r="S19" s="96"/>
      <c r="T19" s="96"/>
      <c r="U19" s="96"/>
      <c r="V19" s="96"/>
      <c r="W19" s="96"/>
      <c r="X19" s="101"/>
    </row>
    <row r="20" spans="1:25" x14ac:dyDescent="0.3">
      <c r="C20" s="73"/>
      <c r="D20" s="73"/>
      <c r="E20" s="73"/>
      <c r="F20" s="73"/>
      <c r="G20" s="73"/>
      <c r="H20" s="73" t="s">
        <v>31</v>
      </c>
      <c r="J20" s="22">
        <f>SUM(J11:J19)</f>
        <v>237600</v>
      </c>
      <c r="K20" s="22"/>
      <c r="L20" s="22"/>
      <c r="M20" s="22">
        <f>+N26</f>
        <v>274129.93</v>
      </c>
      <c r="N20" s="22"/>
      <c r="O20" s="22">
        <f>SUM(O11:O17)</f>
        <v>18050</v>
      </c>
      <c r="P20" s="22">
        <f>SUM(P11:P19)</f>
        <v>216600</v>
      </c>
      <c r="Q20" s="22">
        <f>SUM(Q11:Q19)</f>
        <v>224060.60000000003</v>
      </c>
      <c r="R20" s="103">
        <f>+Q20/P20</f>
        <v>1.0344441366574333</v>
      </c>
      <c r="S20" s="22"/>
      <c r="T20" s="22"/>
      <c r="U20" s="22">
        <f>SUM(U11:U19)</f>
        <v>69348.420000000013</v>
      </c>
      <c r="V20" s="22">
        <f>SUM(V11:V18)</f>
        <v>20792.307692307695</v>
      </c>
      <c r="W20" s="22">
        <f>SUM(W11:W19)</f>
        <v>291092.30769230775</v>
      </c>
      <c r="X20" s="22">
        <f t="shared" si="3"/>
        <v>7196711.3276923075</v>
      </c>
    </row>
    <row r="21" spans="1:25" ht="15" thickBot="1" x14ac:dyDescent="0.35">
      <c r="C21" s="73"/>
      <c r="D21" s="73"/>
      <c r="E21" s="73"/>
      <c r="F21" s="73"/>
      <c r="G21" s="73"/>
      <c r="H21" s="72" t="s">
        <v>32</v>
      </c>
      <c r="I21" s="67">
        <f>SUM(I11:I20)</f>
        <v>183159.97999999998</v>
      </c>
      <c r="J21" s="65">
        <v>162708</v>
      </c>
      <c r="K21" s="66">
        <f>+I21/J21</f>
        <v>1.1256974457310027</v>
      </c>
      <c r="L21" s="65"/>
      <c r="M21" s="49">
        <v>218651.99999999997</v>
      </c>
      <c r="N21" s="64">
        <f>+M20/M21</f>
        <v>1.253727064010391</v>
      </c>
      <c r="O21" s="49">
        <f t="shared" ref="O21:V21" si="10">+O20-$C$3</f>
        <v>1896.1538461538457</v>
      </c>
      <c r="P21" s="49"/>
      <c r="Q21" s="49"/>
      <c r="R21" s="49"/>
      <c r="S21" s="49"/>
      <c r="T21" s="49"/>
      <c r="U21" s="49"/>
      <c r="V21" s="49">
        <f t="shared" si="10"/>
        <v>4638.4615384615408</v>
      </c>
      <c r="W21" s="49"/>
      <c r="X21" s="49">
        <f>X20-C2</f>
        <v>6356711.3276923075</v>
      </c>
    </row>
    <row r="22" spans="1:25" ht="15" thickTop="1" x14ac:dyDescent="0.3"/>
    <row r="23" spans="1:25" x14ac:dyDescent="0.3">
      <c r="M23" t="s">
        <v>116</v>
      </c>
      <c r="N23" s="71">
        <v>34817.660000000003</v>
      </c>
      <c r="T23" t="s">
        <v>125</v>
      </c>
      <c r="U23">
        <f>((26*2080)/4)*4</f>
        <v>54080</v>
      </c>
    </row>
    <row r="24" spans="1:25" x14ac:dyDescent="0.3">
      <c r="M24" t="s">
        <v>117</v>
      </c>
      <c r="N24" s="71">
        <v>158129.43</v>
      </c>
      <c r="Q24" s="9">
        <f>291092-Q20</f>
        <v>67031.399999999965</v>
      </c>
    </row>
    <row r="25" spans="1:25" x14ac:dyDescent="0.3">
      <c r="M25" t="s">
        <v>118</v>
      </c>
      <c r="N25">
        <v>81182.84</v>
      </c>
      <c r="T25" t="s">
        <v>126</v>
      </c>
      <c r="U25">
        <v>25000</v>
      </c>
    </row>
    <row r="26" spans="1:25" x14ac:dyDescent="0.3">
      <c r="N26" s="71">
        <f>SUM(N23:N25)</f>
        <v>274129.93</v>
      </c>
      <c r="U26" s="9">
        <f>+U20-U23-U25</f>
        <v>-9731.5799999999872</v>
      </c>
    </row>
    <row r="28" spans="1:25" x14ac:dyDescent="0.3">
      <c r="R28" s="52" t="s">
        <v>128</v>
      </c>
      <c r="S28" s="52" t="s">
        <v>127</v>
      </c>
    </row>
    <row r="29" spans="1:25" x14ac:dyDescent="0.3">
      <c r="Q29" t="s">
        <v>76</v>
      </c>
      <c r="R29" s="50">
        <v>2019</v>
      </c>
      <c r="S29" s="50">
        <f>6858-2019</f>
        <v>4839</v>
      </c>
      <c r="X29">
        <v>75000</v>
      </c>
    </row>
    <row r="30" spans="1:25" x14ac:dyDescent="0.3">
      <c r="I30" s="1"/>
      <c r="J30" s="52" t="s">
        <v>85</v>
      </c>
      <c r="K30" s="52" t="s">
        <v>84</v>
      </c>
      <c r="L30" s="52" t="s">
        <v>87</v>
      </c>
      <c r="M30" s="52" t="s">
        <v>86</v>
      </c>
      <c r="Q30" t="s">
        <v>77</v>
      </c>
      <c r="R30" s="50">
        <v>2423</v>
      </c>
      <c r="S30" s="50">
        <f>11218-2423</f>
        <v>8795</v>
      </c>
      <c r="V30" s="50">
        <v>1600</v>
      </c>
      <c r="W30" s="105">
        <f>+V30/$V$39</f>
        <v>8.2687338501291993E-2</v>
      </c>
      <c r="X30">
        <f>+$X$29*W30</f>
        <v>6201.5503875968998</v>
      </c>
      <c r="Y30">
        <f>+X30/52</f>
        <v>119.26058437686346</v>
      </c>
    </row>
    <row r="31" spans="1:25" x14ac:dyDescent="0.3">
      <c r="I31" s="22" t="s">
        <v>80</v>
      </c>
      <c r="J31" s="22">
        <f>400*3</f>
        <v>1200</v>
      </c>
      <c r="K31" s="22">
        <f>+J31*4</f>
        <v>4800</v>
      </c>
      <c r="L31" s="22">
        <f>(34*2080)+(34*1.5*50*2.5)</f>
        <v>77095</v>
      </c>
      <c r="M31" s="22">
        <f>+L31+K31</f>
        <v>81895</v>
      </c>
      <c r="Q31" t="s">
        <v>73</v>
      </c>
      <c r="R31" s="50">
        <v>2692</v>
      </c>
      <c r="S31" s="50">
        <f>12188.75-2692</f>
        <v>9496.75</v>
      </c>
      <c r="V31" s="50">
        <v>3200</v>
      </c>
      <c r="W31" s="105">
        <f t="shared" ref="W31:W37" si="11">+V31/$V$39</f>
        <v>0.16537467700258399</v>
      </c>
      <c r="X31">
        <f t="shared" ref="X31:X37" si="12">+$X$29*W31</f>
        <v>12403.1007751938</v>
      </c>
      <c r="Y31">
        <f t="shared" ref="Y31:Y37" si="13">+X31/52</f>
        <v>238.52116875372693</v>
      </c>
    </row>
    <row r="32" spans="1:25" x14ac:dyDescent="0.3">
      <c r="I32" s="1" t="s">
        <v>81</v>
      </c>
      <c r="J32" s="22">
        <v>3000</v>
      </c>
      <c r="K32" s="22">
        <f t="shared" ref="K32:K34" si="14">+J32*4</f>
        <v>12000</v>
      </c>
      <c r="L32" s="22">
        <f>(34*2080)+(34*1.5*50*2.5)</f>
        <v>77095</v>
      </c>
      <c r="M32" s="22">
        <f>+L32+K32</f>
        <v>89095</v>
      </c>
      <c r="Q32" t="s">
        <v>74</v>
      </c>
      <c r="R32" s="50">
        <v>2423</v>
      </c>
      <c r="S32" s="50">
        <f>5107.92-R32</f>
        <v>2684.92</v>
      </c>
      <c r="V32" s="50">
        <v>3000</v>
      </c>
      <c r="W32" s="105">
        <f t="shared" si="11"/>
        <v>0.15503875968992248</v>
      </c>
      <c r="X32">
        <f t="shared" si="12"/>
        <v>11627.906976744185</v>
      </c>
      <c r="Y32">
        <f t="shared" si="13"/>
        <v>223.61359570661895</v>
      </c>
    </row>
    <row r="33" spans="9:25" x14ac:dyDescent="0.3">
      <c r="I33" s="1" t="s">
        <v>82</v>
      </c>
      <c r="J33" s="22">
        <v>5000</v>
      </c>
      <c r="K33" s="22">
        <f t="shared" si="14"/>
        <v>20000</v>
      </c>
      <c r="L33" s="22">
        <f>(34*2080)+(34*1.5*50*2.5)</f>
        <v>77095</v>
      </c>
      <c r="M33" s="22">
        <f t="shared" ref="M33:M34" si="15">+L33+K33</f>
        <v>97095</v>
      </c>
      <c r="Q33" t="s">
        <v>78</v>
      </c>
      <c r="R33" s="50">
        <v>2692</v>
      </c>
      <c r="S33" s="50">
        <f>21844.9-R33</f>
        <v>19152.900000000001</v>
      </c>
      <c r="V33" s="50">
        <v>0</v>
      </c>
      <c r="W33" s="105">
        <f t="shared" si="11"/>
        <v>0</v>
      </c>
      <c r="X33">
        <f t="shared" si="12"/>
        <v>0</v>
      </c>
      <c r="Y33">
        <f t="shared" si="13"/>
        <v>0</v>
      </c>
    </row>
    <row r="34" spans="9:25" x14ac:dyDescent="0.3">
      <c r="I34" s="1" t="s">
        <v>83</v>
      </c>
      <c r="J34" s="22">
        <f>2500*4</f>
        <v>10000</v>
      </c>
      <c r="K34" s="22">
        <f t="shared" si="14"/>
        <v>40000</v>
      </c>
      <c r="L34" s="22">
        <f>(34*2080)+(34*1.5*50*2.5)</f>
        <v>77095</v>
      </c>
      <c r="M34" s="22">
        <f t="shared" si="15"/>
        <v>117095</v>
      </c>
      <c r="V34" s="50">
        <v>2600</v>
      </c>
      <c r="W34" s="105">
        <f t="shared" si="11"/>
        <v>0.13436692506459949</v>
      </c>
      <c r="X34">
        <f t="shared" si="12"/>
        <v>10077.519379844962</v>
      </c>
      <c r="Y34">
        <f t="shared" si="13"/>
        <v>193.79844961240312</v>
      </c>
    </row>
    <row r="35" spans="9:25" x14ac:dyDescent="0.3">
      <c r="R35" s="52" t="s">
        <v>130</v>
      </c>
      <c r="V35" s="50">
        <v>3000</v>
      </c>
      <c r="W35" s="105">
        <f t="shared" si="11"/>
        <v>0.15503875968992248</v>
      </c>
      <c r="X35">
        <f t="shared" si="12"/>
        <v>11627.906976744185</v>
      </c>
      <c r="Y35">
        <f t="shared" si="13"/>
        <v>223.61359570661895</v>
      </c>
    </row>
    <row r="36" spans="9:25" x14ac:dyDescent="0.3">
      <c r="I36">
        <v>97665.75</v>
      </c>
      <c r="J36" s="22">
        <f>+I36*0.2</f>
        <v>19533.150000000001</v>
      </c>
      <c r="K36" s="22">
        <f>+I36*0.4</f>
        <v>39066.300000000003</v>
      </c>
      <c r="Q36" t="s">
        <v>115</v>
      </c>
      <c r="R36" s="50">
        <v>3000</v>
      </c>
      <c r="V36" s="50">
        <v>3200</v>
      </c>
      <c r="W36" s="105">
        <f t="shared" si="11"/>
        <v>0.16537467700258399</v>
      </c>
      <c r="X36">
        <f t="shared" si="12"/>
        <v>12403.1007751938</v>
      </c>
      <c r="Y36">
        <f t="shared" si="13"/>
        <v>238.52116875372693</v>
      </c>
    </row>
    <row r="37" spans="9:25" x14ac:dyDescent="0.3">
      <c r="Q37" t="s">
        <v>129</v>
      </c>
      <c r="R37" s="50">
        <v>5000</v>
      </c>
      <c r="V37" s="50">
        <v>2750</v>
      </c>
      <c r="W37" s="105">
        <f t="shared" si="11"/>
        <v>0.1421188630490956</v>
      </c>
      <c r="X37">
        <f t="shared" si="12"/>
        <v>10658.91472868217</v>
      </c>
      <c r="Y37">
        <f t="shared" si="13"/>
        <v>204.97912939773403</v>
      </c>
    </row>
    <row r="38" spans="9:25" x14ac:dyDescent="0.3">
      <c r="I38" s="22" t="s">
        <v>80</v>
      </c>
      <c r="J38" s="22">
        <v>1750</v>
      </c>
      <c r="K38" s="105">
        <f>+J38/$I$36</f>
        <v>1.7918256911967603E-2</v>
      </c>
    </row>
    <row r="39" spans="9:25" x14ac:dyDescent="0.3">
      <c r="I39" s="1" t="s">
        <v>81</v>
      </c>
      <c r="J39" s="22">
        <v>5000</v>
      </c>
      <c r="K39" s="105">
        <f t="shared" ref="K39:K41" si="16">+J39/$I$36</f>
        <v>5.119501974847887E-2</v>
      </c>
      <c r="V39" s="9">
        <f>SUM(V30:V38)</f>
        <v>19350</v>
      </c>
    </row>
    <row r="40" spans="9:25" x14ac:dyDescent="0.3">
      <c r="I40" s="1" t="s">
        <v>82</v>
      </c>
      <c r="J40" s="22">
        <f>+J39*1.7</f>
        <v>8500</v>
      </c>
      <c r="K40" s="105">
        <f t="shared" si="16"/>
        <v>8.7031533572414069E-2</v>
      </c>
    </row>
    <row r="41" spans="9:25" x14ac:dyDescent="0.3">
      <c r="I41" s="1" t="s">
        <v>83</v>
      </c>
      <c r="J41" s="22">
        <f>+J40*2</f>
        <v>17000</v>
      </c>
      <c r="K41" s="105">
        <f t="shared" si="16"/>
        <v>0.17406306714482814</v>
      </c>
    </row>
    <row r="42" spans="9:25" x14ac:dyDescent="0.3">
      <c r="U42" s="106"/>
      <c r="V42" s="107" t="s">
        <v>29</v>
      </c>
      <c r="W42" s="107" t="s">
        <v>112</v>
      </c>
    </row>
    <row r="43" spans="9:25" x14ac:dyDescent="0.3">
      <c r="K43" s="105">
        <f>+K38*4</f>
        <v>7.167302764787041E-2</v>
      </c>
      <c r="U43" s="106" t="s">
        <v>115</v>
      </c>
      <c r="V43" s="108">
        <v>1719.2605843768636</v>
      </c>
      <c r="W43" s="108">
        <f>+V43*14</f>
        <v>24069.64818127609</v>
      </c>
    </row>
    <row r="44" spans="9:25" x14ac:dyDescent="0.3">
      <c r="K44" s="105">
        <f t="shared" ref="K44:K45" si="17">+K39*4</f>
        <v>0.20478007899391548</v>
      </c>
      <c r="U44" s="106" t="s">
        <v>73</v>
      </c>
      <c r="V44" s="108">
        <v>3330</v>
      </c>
      <c r="W44" s="108">
        <f t="shared" ref="W44:W49" si="18">+V44*14</f>
        <v>46620</v>
      </c>
    </row>
    <row r="45" spans="9:25" x14ac:dyDescent="0.3">
      <c r="K45" s="105">
        <f t="shared" si="17"/>
        <v>0.34812613428965627</v>
      </c>
      <c r="U45" s="106" t="s">
        <v>74</v>
      </c>
      <c r="V45" s="108">
        <v>3112</v>
      </c>
      <c r="W45" s="108">
        <f t="shared" si="18"/>
        <v>43568</v>
      </c>
    </row>
    <row r="46" spans="9:25" x14ac:dyDescent="0.3">
      <c r="U46" s="106" t="s">
        <v>76</v>
      </c>
      <c r="V46" s="108">
        <v>2697</v>
      </c>
      <c r="W46" s="108">
        <f t="shared" si="18"/>
        <v>37758</v>
      </c>
      <c r="X46" s="71"/>
    </row>
    <row r="47" spans="9:25" x14ac:dyDescent="0.3">
      <c r="U47" s="106" t="s">
        <v>77</v>
      </c>
      <c r="V47" s="108">
        <v>2862</v>
      </c>
      <c r="W47" s="108">
        <f t="shared" si="18"/>
        <v>40068</v>
      </c>
    </row>
    <row r="48" spans="9:25" x14ac:dyDescent="0.3">
      <c r="U48" s="106" t="s">
        <v>78</v>
      </c>
      <c r="V48" s="108">
        <v>3219</v>
      </c>
      <c r="W48" s="108">
        <f t="shared" si="18"/>
        <v>45066</v>
      </c>
    </row>
    <row r="49" spans="21:24" x14ac:dyDescent="0.3">
      <c r="U49" s="106" t="s">
        <v>119</v>
      </c>
      <c r="V49" s="108">
        <v>2994</v>
      </c>
      <c r="W49" s="108">
        <f t="shared" si="18"/>
        <v>41916</v>
      </c>
    </row>
    <row r="51" spans="21:24" ht="15" thickBot="1" x14ac:dyDescent="0.35">
      <c r="V51" s="109">
        <v>260897.77</v>
      </c>
      <c r="W51" s="109">
        <f>SUM(W43:W49)</f>
        <v>279065.6481812761</v>
      </c>
      <c r="X51" s="70">
        <f>+V51/W51</f>
        <v>0.93489747555931868</v>
      </c>
    </row>
    <row r="52" spans="21:24" ht="15" thickTop="1" x14ac:dyDescent="0.3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1B250-BFBD-49A1-A752-12AF5ADA0D00}">
  <dimension ref="A1:AD75"/>
  <sheetViews>
    <sheetView topLeftCell="A40" zoomScale="120" zoomScaleNormal="120" workbookViewId="0">
      <selection activeCell="D38" sqref="D37:D38"/>
    </sheetView>
  </sheetViews>
  <sheetFormatPr defaultColWidth="9.21875" defaultRowHeight="14.4" x14ac:dyDescent="0.3"/>
  <cols>
    <col min="1" max="1" width="22.77734375" style="79" customWidth="1"/>
    <col min="2" max="16" width="14.44140625" style="22" customWidth="1"/>
    <col min="17" max="16384" width="9.21875" style="22"/>
  </cols>
  <sheetData>
    <row r="1" spans="1:30" s="1" customFormat="1" x14ac:dyDescent="0.3">
      <c r="A1" s="79" t="s">
        <v>95</v>
      </c>
      <c r="B1" s="1" t="s">
        <v>89</v>
      </c>
      <c r="C1" s="1" t="s">
        <v>90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90" t="s">
        <v>113</v>
      </c>
    </row>
    <row r="2" spans="1:30" s="1" customFormat="1" x14ac:dyDescent="0.3">
      <c r="A2" s="79" t="s">
        <v>96</v>
      </c>
      <c r="B2" s="81">
        <v>45375</v>
      </c>
      <c r="C2" s="81">
        <f>+B2+7</f>
        <v>45382</v>
      </c>
      <c r="D2" s="81">
        <f>+C2+7</f>
        <v>45389</v>
      </c>
      <c r="E2" s="81">
        <f>+D2+7</f>
        <v>45396</v>
      </c>
      <c r="F2" s="81">
        <f t="shared" ref="F2:AD2" si="0">+E2+7</f>
        <v>45403</v>
      </c>
      <c r="G2" s="81">
        <f t="shared" si="0"/>
        <v>45410</v>
      </c>
      <c r="H2" s="81">
        <f t="shared" si="0"/>
        <v>45417</v>
      </c>
      <c r="I2" s="81">
        <f t="shared" si="0"/>
        <v>45424</v>
      </c>
      <c r="J2" s="81">
        <f t="shared" si="0"/>
        <v>45431</v>
      </c>
      <c r="K2" s="81">
        <f t="shared" si="0"/>
        <v>45438</v>
      </c>
      <c r="L2" s="81">
        <f t="shared" si="0"/>
        <v>45445</v>
      </c>
      <c r="M2" s="81">
        <f t="shared" si="0"/>
        <v>45452</v>
      </c>
      <c r="N2" s="81">
        <f t="shared" si="0"/>
        <v>45459</v>
      </c>
      <c r="O2" s="81">
        <f t="shared" si="0"/>
        <v>45466</v>
      </c>
      <c r="P2" s="91" t="s">
        <v>114</v>
      </c>
      <c r="Q2" s="80">
        <f>+O2+7</f>
        <v>45473</v>
      </c>
      <c r="R2" s="80">
        <f t="shared" si="0"/>
        <v>45480</v>
      </c>
      <c r="S2" s="80">
        <f t="shared" si="0"/>
        <v>45487</v>
      </c>
      <c r="T2" s="80">
        <f t="shared" si="0"/>
        <v>45494</v>
      </c>
      <c r="U2" s="80">
        <f t="shared" si="0"/>
        <v>45501</v>
      </c>
      <c r="V2" s="80">
        <f t="shared" si="0"/>
        <v>45508</v>
      </c>
      <c r="W2" s="80">
        <f t="shared" si="0"/>
        <v>45515</v>
      </c>
      <c r="X2" s="80">
        <f t="shared" si="0"/>
        <v>45522</v>
      </c>
      <c r="Y2" s="80">
        <f t="shared" si="0"/>
        <v>45529</v>
      </c>
      <c r="Z2" s="80">
        <f t="shared" si="0"/>
        <v>45536</v>
      </c>
      <c r="AA2" s="80">
        <f t="shared" si="0"/>
        <v>45543</v>
      </c>
      <c r="AB2" s="80">
        <f t="shared" si="0"/>
        <v>45550</v>
      </c>
      <c r="AC2" s="80">
        <f t="shared" si="0"/>
        <v>45557</v>
      </c>
      <c r="AD2" s="80">
        <f t="shared" si="0"/>
        <v>45564</v>
      </c>
    </row>
    <row r="3" spans="1:30" s="1" customFormat="1" x14ac:dyDescent="0.3">
      <c r="A3" s="79"/>
      <c r="P3" s="90"/>
    </row>
    <row r="4" spans="1:30" x14ac:dyDescent="0.3">
      <c r="A4" s="84" t="s">
        <v>73</v>
      </c>
      <c r="P4" s="92"/>
    </row>
    <row r="5" spans="1:30" x14ac:dyDescent="0.3">
      <c r="A5" s="85" t="s">
        <v>91</v>
      </c>
      <c r="B5" s="34">
        <v>6312</v>
      </c>
      <c r="C5" s="34">
        <v>681</v>
      </c>
      <c r="D5" s="34">
        <v>2395.25</v>
      </c>
      <c r="E5" s="34">
        <v>2352</v>
      </c>
      <c r="F5" s="34">
        <v>1867.75</v>
      </c>
      <c r="G5" s="34"/>
      <c r="H5" s="34"/>
      <c r="I5" s="34"/>
      <c r="J5" s="34"/>
      <c r="K5" s="34"/>
      <c r="L5" s="34"/>
      <c r="M5" s="34"/>
      <c r="N5" s="34"/>
      <c r="O5" s="34"/>
      <c r="P5" s="92"/>
    </row>
    <row r="6" spans="1:30" x14ac:dyDescent="0.3">
      <c r="A6" s="86" t="s">
        <v>93</v>
      </c>
      <c r="B6" s="22">
        <v>942.04</v>
      </c>
      <c r="C6" s="22">
        <v>18.670000000000002</v>
      </c>
      <c r="D6" s="22">
        <v>471.06</v>
      </c>
      <c r="E6" s="22">
        <v>405.87</v>
      </c>
      <c r="F6" s="22">
        <v>818.4</v>
      </c>
      <c r="P6" s="92"/>
    </row>
    <row r="7" spans="1:30" x14ac:dyDescent="0.3">
      <c r="A7" s="86" t="s">
        <v>92</v>
      </c>
      <c r="B7" s="22">
        <v>4141.75</v>
      </c>
      <c r="C7" s="22">
        <v>125</v>
      </c>
      <c r="D7" s="22">
        <v>0</v>
      </c>
      <c r="E7" s="22">
        <v>110</v>
      </c>
      <c r="F7" s="22">
        <v>970.5</v>
      </c>
      <c r="P7" s="92"/>
    </row>
    <row r="8" spans="1:30" x14ac:dyDescent="0.3">
      <c r="A8" s="87" t="s">
        <v>94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/>
      <c r="H8" s="28"/>
      <c r="I8" s="28"/>
      <c r="J8" s="28"/>
      <c r="K8" s="28"/>
      <c r="L8" s="28"/>
      <c r="M8" s="28"/>
      <c r="N8" s="28"/>
      <c r="O8" s="28"/>
      <c r="P8" s="92"/>
    </row>
    <row r="9" spans="1:30" x14ac:dyDescent="0.3">
      <c r="A9" s="79" t="s">
        <v>110</v>
      </c>
      <c r="B9" s="22">
        <f>SUM(B5:B8)</f>
        <v>11395.79</v>
      </c>
      <c r="C9" s="22">
        <f t="shared" ref="C9:O9" si="1">SUM(C5:C8)</f>
        <v>824.67</v>
      </c>
      <c r="D9" s="22">
        <f t="shared" si="1"/>
        <v>2866.31</v>
      </c>
      <c r="E9" s="22">
        <f t="shared" si="1"/>
        <v>2867.87</v>
      </c>
      <c r="F9" s="22">
        <f t="shared" si="1"/>
        <v>3656.65</v>
      </c>
      <c r="G9" s="22">
        <f t="shared" si="1"/>
        <v>0</v>
      </c>
      <c r="H9" s="22">
        <f t="shared" si="1"/>
        <v>0</v>
      </c>
      <c r="I9" s="22">
        <f t="shared" si="1"/>
        <v>0</v>
      </c>
      <c r="J9" s="22">
        <f t="shared" si="1"/>
        <v>0</v>
      </c>
      <c r="K9" s="22">
        <f t="shared" si="1"/>
        <v>0</v>
      </c>
      <c r="L9" s="22">
        <f t="shared" si="1"/>
        <v>0</v>
      </c>
      <c r="M9" s="22">
        <f t="shared" si="1"/>
        <v>0</v>
      </c>
      <c r="N9" s="22">
        <f t="shared" si="1"/>
        <v>0</v>
      </c>
      <c r="O9" s="22">
        <f t="shared" si="1"/>
        <v>0</v>
      </c>
      <c r="P9" s="92">
        <f>SUM(B9:O9)</f>
        <v>21611.29</v>
      </c>
    </row>
    <row r="10" spans="1:30" x14ac:dyDescent="0.3">
      <c r="A10" s="79" t="s">
        <v>112</v>
      </c>
      <c r="B10" s="22">
        <v>3200</v>
      </c>
      <c r="C10" s="22">
        <v>3200</v>
      </c>
      <c r="D10" s="22">
        <v>3200</v>
      </c>
      <c r="E10" s="22">
        <v>3200</v>
      </c>
      <c r="F10" s="22">
        <v>3200</v>
      </c>
      <c r="G10" s="22">
        <v>3200</v>
      </c>
      <c r="H10" s="22">
        <v>3200</v>
      </c>
      <c r="I10" s="22">
        <v>3200</v>
      </c>
      <c r="J10" s="22">
        <v>3200</v>
      </c>
      <c r="K10" s="22">
        <v>3200</v>
      </c>
      <c r="L10" s="22">
        <v>3200</v>
      </c>
      <c r="M10" s="22">
        <v>3200</v>
      </c>
      <c r="N10" s="22">
        <v>3200</v>
      </c>
      <c r="O10" s="22">
        <v>3200</v>
      </c>
      <c r="P10" s="92">
        <f>SUM(B10:O10)</f>
        <v>44800</v>
      </c>
    </row>
    <row r="11" spans="1:30" ht="15" thickBot="1" x14ac:dyDescent="0.35">
      <c r="A11" s="82" t="s">
        <v>111</v>
      </c>
      <c r="B11" s="83">
        <f>+B9/B10</f>
        <v>3.5611843750000003</v>
      </c>
      <c r="C11" s="89">
        <f t="shared" ref="C11:O11" si="2">+C9/C10</f>
        <v>0.25770937499999996</v>
      </c>
      <c r="D11" s="89">
        <f t="shared" si="2"/>
        <v>0.895721875</v>
      </c>
      <c r="E11" s="89">
        <f t="shared" si="2"/>
        <v>0.89620937499999997</v>
      </c>
      <c r="F11" s="83">
        <f t="shared" si="2"/>
        <v>1.1427031249999999</v>
      </c>
      <c r="G11" s="88">
        <f t="shared" si="2"/>
        <v>0</v>
      </c>
      <c r="H11" s="88">
        <f t="shared" si="2"/>
        <v>0</v>
      </c>
      <c r="I11" s="88">
        <f t="shared" si="2"/>
        <v>0</v>
      </c>
      <c r="J11" s="88">
        <f t="shared" si="2"/>
        <v>0</v>
      </c>
      <c r="K11" s="88">
        <f t="shared" si="2"/>
        <v>0</v>
      </c>
      <c r="L11" s="88">
        <f t="shared" si="2"/>
        <v>0</v>
      </c>
      <c r="M11" s="88">
        <f t="shared" si="2"/>
        <v>0</v>
      </c>
      <c r="N11" s="88">
        <f t="shared" si="2"/>
        <v>0</v>
      </c>
      <c r="O11" s="88">
        <f t="shared" si="2"/>
        <v>0</v>
      </c>
      <c r="P11" s="93">
        <f>+P9/P10</f>
        <v>0.48239486607142862</v>
      </c>
    </row>
    <row r="12" spans="1:30" ht="15" thickTop="1" x14ac:dyDescent="0.3">
      <c r="P12" s="92"/>
    </row>
    <row r="13" spans="1:30" x14ac:dyDescent="0.3">
      <c r="A13" s="84" t="s">
        <v>74</v>
      </c>
      <c r="P13" s="92"/>
    </row>
    <row r="14" spans="1:30" x14ac:dyDescent="0.3">
      <c r="A14" s="85" t="s">
        <v>91</v>
      </c>
      <c r="B14" s="34">
        <v>3058.75</v>
      </c>
      <c r="C14" s="34">
        <v>687</v>
      </c>
      <c r="D14" s="34">
        <v>2342.75</v>
      </c>
      <c r="E14" s="34">
        <v>1000.75</v>
      </c>
      <c r="F14" s="34">
        <v>735.5</v>
      </c>
      <c r="G14" s="34"/>
      <c r="H14" s="34"/>
      <c r="I14" s="34"/>
      <c r="J14" s="34"/>
      <c r="K14" s="34"/>
      <c r="L14" s="34"/>
      <c r="M14" s="34"/>
      <c r="N14" s="34"/>
      <c r="O14" s="34"/>
      <c r="P14" s="92"/>
    </row>
    <row r="15" spans="1:30" x14ac:dyDescent="0.3">
      <c r="A15" s="86" t="s">
        <v>93</v>
      </c>
      <c r="B15" s="22">
        <v>1203.5899999999999</v>
      </c>
      <c r="C15" s="22">
        <v>150.86000000000001</v>
      </c>
      <c r="D15" s="22">
        <v>82.08</v>
      </c>
      <c r="E15" s="22">
        <v>581.62</v>
      </c>
      <c r="F15" s="22">
        <v>452.77</v>
      </c>
      <c r="P15" s="92"/>
    </row>
    <row r="16" spans="1:30" x14ac:dyDescent="0.3">
      <c r="A16" s="86" t="s">
        <v>92</v>
      </c>
      <c r="B16" s="22">
        <v>1916</v>
      </c>
      <c r="C16" s="22">
        <v>0</v>
      </c>
      <c r="D16" s="22">
        <v>0</v>
      </c>
      <c r="E16" s="22">
        <v>0</v>
      </c>
      <c r="F16" s="22">
        <v>1250.25</v>
      </c>
      <c r="P16" s="92"/>
    </row>
    <row r="17" spans="1:16" x14ac:dyDescent="0.3">
      <c r="A17" s="87" t="s">
        <v>94</v>
      </c>
      <c r="B17" s="28">
        <v>0</v>
      </c>
      <c r="C17" s="28">
        <v>0</v>
      </c>
      <c r="D17" s="28">
        <v>0</v>
      </c>
      <c r="E17" s="28">
        <v>0</v>
      </c>
      <c r="F17" s="28">
        <v>0</v>
      </c>
      <c r="G17" s="28"/>
      <c r="H17" s="28"/>
      <c r="I17" s="28"/>
      <c r="J17" s="28"/>
      <c r="K17" s="28"/>
      <c r="L17" s="28"/>
      <c r="M17" s="28"/>
      <c r="N17" s="28"/>
      <c r="O17" s="28"/>
      <c r="P17" s="92"/>
    </row>
    <row r="18" spans="1:16" x14ac:dyDescent="0.3">
      <c r="A18" s="79" t="s">
        <v>110</v>
      </c>
      <c r="B18" s="22">
        <f>SUM(B14:B17)</f>
        <v>6178.34</v>
      </c>
      <c r="C18" s="22">
        <f t="shared" ref="C18:O18" si="3">SUM(C14:C17)</f>
        <v>837.86</v>
      </c>
      <c r="D18" s="22">
        <f t="shared" si="3"/>
        <v>2424.83</v>
      </c>
      <c r="E18" s="22">
        <f t="shared" si="3"/>
        <v>1582.37</v>
      </c>
      <c r="F18" s="22">
        <f t="shared" si="3"/>
        <v>2438.52</v>
      </c>
      <c r="G18" s="22">
        <f t="shared" si="3"/>
        <v>0</v>
      </c>
      <c r="H18" s="22">
        <f t="shared" si="3"/>
        <v>0</v>
      </c>
      <c r="I18" s="22">
        <f t="shared" si="3"/>
        <v>0</v>
      </c>
      <c r="J18" s="22">
        <f t="shared" si="3"/>
        <v>0</v>
      </c>
      <c r="K18" s="22">
        <f t="shared" si="3"/>
        <v>0</v>
      </c>
      <c r="L18" s="22">
        <f t="shared" si="3"/>
        <v>0</v>
      </c>
      <c r="M18" s="22">
        <f t="shared" si="3"/>
        <v>0</v>
      </c>
      <c r="N18" s="22">
        <f t="shared" si="3"/>
        <v>0</v>
      </c>
      <c r="O18" s="22">
        <f t="shared" si="3"/>
        <v>0</v>
      </c>
      <c r="P18" s="92">
        <f>SUM(B18:O18)</f>
        <v>13461.919999999998</v>
      </c>
    </row>
    <row r="19" spans="1:16" x14ac:dyDescent="0.3">
      <c r="A19" s="79" t="s">
        <v>112</v>
      </c>
      <c r="B19" s="22">
        <v>3000</v>
      </c>
      <c r="C19" s="22">
        <v>3000</v>
      </c>
      <c r="D19" s="22">
        <v>3000</v>
      </c>
      <c r="E19" s="22">
        <v>3000</v>
      </c>
      <c r="F19" s="22">
        <v>3000</v>
      </c>
      <c r="G19" s="22">
        <v>3000</v>
      </c>
      <c r="H19" s="22">
        <v>3000</v>
      </c>
      <c r="I19" s="22">
        <v>3000</v>
      </c>
      <c r="J19" s="22">
        <v>3000</v>
      </c>
      <c r="K19" s="22">
        <v>3000</v>
      </c>
      <c r="L19" s="22">
        <v>3000</v>
      </c>
      <c r="M19" s="22">
        <v>3000</v>
      </c>
      <c r="N19" s="22">
        <v>3000</v>
      </c>
      <c r="O19" s="22">
        <v>3000</v>
      </c>
      <c r="P19" s="92">
        <f>SUM(B19:O19)</f>
        <v>42000</v>
      </c>
    </row>
    <row r="20" spans="1:16" ht="15" thickBot="1" x14ac:dyDescent="0.35">
      <c r="A20" s="82" t="s">
        <v>111</v>
      </c>
      <c r="B20" s="83">
        <f>+B18/B19</f>
        <v>2.0594466666666666</v>
      </c>
      <c r="C20" s="89">
        <f t="shared" ref="C20:O20" si="4">+C18/C19</f>
        <v>0.27928666666666668</v>
      </c>
      <c r="D20" s="89">
        <f t="shared" si="4"/>
        <v>0.80827666666666664</v>
      </c>
      <c r="E20" s="89">
        <f t="shared" si="4"/>
        <v>0.52745666666666668</v>
      </c>
      <c r="F20" s="89">
        <f t="shared" si="4"/>
        <v>0.81284000000000001</v>
      </c>
      <c r="G20" s="88">
        <f t="shared" si="4"/>
        <v>0</v>
      </c>
      <c r="H20" s="88">
        <f t="shared" si="4"/>
        <v>0</v>
      </c>
      <c r="I20" s="88">
        <f t="shared" si="4"/>
        <v>0</v>
      </c>
      <c r="J20" s="88">
        <f t="shared" si="4"/>
        <v>0</v>
      </c>
      <c r="K20" s="88">
        <f t="shared" si="4"/>
        <v>0</v>
      </c>
      <c r="L20" s="88">
        <f t="shared" si="4"/>
        <v>0</v>
      </c>
      <c r="M20" s="88">
        <f t="shared" si="4"/>
        <v>0</v>
      </c>
      <c r="N20" s="88">
        <f t="shared" si="4"/>
        <v>0</v>
      </c>
      <c r="O20" s="88">
        <f t="shared" si="4"/>
        <v>0</v>
      </c>
      <c r="P20" s="93">
        <f>+P18/P19</f>
        <v>0.32052190476190473</v>
      </c>
    </row>
    <row r="21" spans="1:16" ht="15" thickTop="1" x14ac:dyDescent="0.3">
      <c r="P21" s="92"/>
    </row>
    <row r="22" spans="1:16" x14ac:dyDescent="0.3">
      <c r="A22" s="84" t="s">
        <v>75</v>
      </c>
      <c r="P22" s="92"/>
    </row>
    <row r="23" spans="1:16" x14ac:dyDescent="0.3">
      <c r="A23" s="85" t="s">
        <v>91</v>
      </c>
      <c r="B23" s="34">
        <v>2490.25</v>
      </c>
      <c r="C23" s="34">
        <v>1254</v>
      </c>
      <c r="D23" s="34">
        <v>2274</v>
      </c>
      <c r="E23" s="34">
        <v>0</v>
      </c>
      <c r="F23" s="34">
        <v>687.5</v>
      </c>
      <c r="G23" s="34"/>
      <c r="H23" s="34"/>
      <c r="I23" s="34"/>
      <c r="J23" s="34"/>
      <c r="K23" s="34"/>
      <c r="L23" s="34"/>
      <c r="M23" s="34"/>
      <c r="N23" s="34"/>
      <c r="O23" s="34"/>
      <c r="P23" s="92"/>
    </row>
    <row r="24" spans="1:16" x14ac:dyDescent="0.3">
      <c r="A24" s="86" t="s">
        <v>93</v>
      </c>
      <c r="B24" s="22">
        <v>258.7</v>
      </c>
      <c r="C24" s="22">
        <v>83.88</v>
      </c>
      <c r="D24" s="22">
        <v>181.85</v>
      </c>
      <c r="E24" s="22">
        <v>0</v>
      </c>
      <c r="F24" s="22">
        <v>263.33999999999997</v>
      </c>
      <c r="P24" s="92"/>
    </row>
    <row r="25" spans="1:16" x14ac:dyDescent="0.3">
      <c r="A25" s="86" t="s">
        <v>92</v>
      </c>
      <c r="B25" s="22">
        <v>1731</v>
      </c>
      <c r="C25" s="22">
        <v>0</v>
      </c>
      <c r="D25" s="22">
        <v>232</v>
      </c>
      <c r="E25" s="22">
        <v>220</v>
      </c>
      <c r="F25" s="22">
        <v>586</v>
      </c>
      <c r="P25" s="92"/>
    </row>
    <row r="26" spans="1:16" x14ac:dyDescent="0.3">
      <c r="A26" s="87" t="s">
        <v>94</v>
      </c>
      <c r="B26" s="28">
        <v>0</v>
      </c>
      <c r="C26" s="28">
        <v>0</v>
      </c>
      <c r="D26" s="28">
        <v>0</v>
      </c>
      <c r="E26" s="28">
        <v>0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92"/>
    </row>
    <row r="27" spans="1:16" x14ac:dyDescent="0.3">
      <c r="A27" s="79" t="s">
        <v>110</v>
      </c>
      <c r="B27" s="22">
        <f>SUM(B23:B26)</f>
        <v>4479.95</v>
      </c>
      <c r="C27" s="22">
        <f t="shared" ref="C27:O27" si="5">SUM(C23:C26)</f>
        <v>1337.88</v>
      </c>
      <c r="D27" s="22">
        <f t="shared" si="5"/>
        <v>2687.85</v>
      </c>
      <c r="E27" s="22">
        <f t="shared" si="5"/>
        <v>220</v>
      </c>
      <c r="F27" s="22">
        <f t="shared" si="5"/>
        <v>1536.84</v>
      </c>
      <c r="G27" s="22">
        <f t="shared" si="5"/>
        <v>0</v>
      </c>
      <c r="H27" s="22">
        <f t="shared" si="5"/>
        <v>0</v>
      </c>
      <c r="I27" s="22">
        <f t="shared" si="5"/>
        <v>0</v>
      </c>
      <c r="J27" s="22">
        <f t="shared" si="5"/>
        <v>0</v>
      </c>
      <c r="K27" s="22">
        <f t="shared" si="5"/>
        <v>0</v>
      </c>
      <c r="L27" s="22">
        <f t="shared" si="5"/>
        <v>0</v>
      </c>
      <c r="M27" s="22">
        <f t="shared" si="5"/>
        <v>0</v>
      </c>
      <c r="N27" s="22">
        <f t="shared" si="5"/>
        <v>0</v>
      </c>
      <c r="O27" s="22">
        <f t="shared" si="5"/>
        <v>0</v>
      </c>
      <c r="P27" s="92">
        <f>SUM(B27:O27)</f>
        <v>10262.52</v>
      </c>
    </row>
    <row r="28" spans="1:16" x14ac:dyDescent="0.3">
      <c r="A28" s="79" t="s">
        <v>112</v>
      </c>
      <c r="B28" s="22">
        <v>2500</v>
      </c>
      <c r="C28" s="22">
        <v>2500</v>
      </c>
      <c r="D28" s="22">
        <v>2500</v>
      </c>
      <c r="E28" s="22">
        <v>2500</v>
      </c>
      <c r="F28" s="22">
        <v>2500</v>
      </c>
      <c r="G28" s="22">
        <v>2500</v>
      </c>
      <c r="H28" s="22">
        <v>2500</v>
      </c>
      <c r="I28" s="22">
        <v>2500</v>
      </c>
      <c r="J28" s="22">
        <v>2500</v>
      </c>
      <c r="K28" s="22">
        <v>2500</v>
      </c>
      <c r="L28" s="22">
        <v>2500</v>
      </c>
      <c r="M28" s="22">
        <v>2500</v>
      </c>
      <c r="N28" s="22">
        <v>2500</v>
      </c>
      <c r="O28" s="22">
        <v>2500</v>
      </c>
      <c r="P28" s="92">
        <f>SUM(B28:O28)</f>
        <v>35000</v>
      </c>
    </row>
    <row r="29" spans="1:16" ht="15" thickBot="1" x14ac:dyDescent="0.35">
      <c r="A29" s="82" t="s">
        <v>111</v>
      </c>
      <c r="B29" s="83">
        <f>+B27/B28</f>
        <v>1.7919799999999999</v>
      </c>
      <c r="C29" s="89">
        <f t="shared" ref="C29:O29" si="6">+C27/C28</f>
        <v>0.53515200000000007</v>
      </c>
      <c r="D29" s="83">
        <f t="shared" si="6"/>
        <v>1.07514</v>
      </c>
      <c r="E29" s="89">
        <f t="shared" si="6"/>
        <v>8.7999999999999995E-2</v>
      </c>
      <c r="F29" s="89">
        <f t="shared" si="6"/>
        <v>0.61473599999999995</v>
      </c>
      <c r="G29" s="88">
        <f t="shared" si="6"/>
        <v>0</v>
      </c>
      <c r="H29" s="88">
        <f t="shared" si="6"/>
        <v>0</v>
      </c>
      <c r="I29" s="88">
        <f t="shared" si="6"/>
        <v>0</v>
      </c>
      <c r="J29" s="88">
        <f t="shared" si="6"/>
        <v>0</v>
      </c>
      <c r="K29" s="88">
        <f t="shared" si="6"/>
        <v>0</v>
      </c>
      <c r="L29" s="88">
        <f t="shared" si="6"/>
        <v>0</v>
      </c>
      <c r="M29" s="88">
        <f t="shared" si="6"/>
        <v>0</v>
      </c>
      <c r="N29" s="88">
        <f t="shared" si="6"/>
        <v>0</v>
      </c>
      <c r="O29" s="88">
        <f t="shared" si="6"/>
        <v>0</v>
      </c>
      <c r="P29" s="93">
        <f>+P27/P28</f>
        <v>0.29321485714285717</v>
      </c>
    </row>
    <row r="30" spans="1:16" ht="15" thickTop="1" x14ac:dyDescent="0.3">
      <c r="P30" s="92"/>
    </row>
    <row r="31" spans="1:16" x14ac:dyDescent="0.3">
      <c r="A31" s="84" t="s">
        <v>76</v>
      </c>
      <c r="P31" s="92"/>
    </row>
    <row r="32" spans="1:16" x14ac:dyDescent="0.3">
      <c r="A32" s="85" t="s">
        <v>91</v>
      </c>
      <c r="B32" s="34">
        <v>640.70000000000005</v>
      </c>
      <c r="C32" s="34">
        <v>2387.25</v>
      </c>
      <c r="D32" s="34">
        <v>1317</v>
      </c>
      <c r="E32" s="34">
        <v>617.5</v>
      </c>
      <c r="F32" s="34">
        <v>527</v>
      </c>
      <c r="G32" s="34"/>
      <c r="H32" s="34"/>
      <c r="I32" s="34"/>
      <c r="J32" s="34"/>
      <c r="K32" s="34"/>
      <c r="L32" s="34"/>
      <c r="M32" s="34"/>
      <c r="N32" s="34"/>
      <c r="O32" s="34"/>
      <c r="P32" s="92"/>
    </row>
    <row r="33" spans="1:16" x14ac:dyDescent="0.3">
      <c r="A33" s="86" t="s">
        <v>93</v>
      </c>
      <c r="B33" s="22">
        <v>-35.17</v>
      </c>
      <c r="C33" s="22">
        <v>754.47</v>
      </c>
      <c r="D33" s="22">
        <v>552.41999999999996</v>
      </c>
      <c r="E33" s="22">
        <v>6.82</v>
      </c>
      <c r="F33" s="22">
        <v>64.97</v>
      </c>
      <c r="P33" s="92"/>
    </row>
    <row r="34" spans="1:16" x14ac:dyDescent="0.3">
      <c r="A34" s="86" t="s">
        <v>92</v>
      </c>
      <c r="B34" s="22">
        <v>2284.25</v>
      </c>
      <c r="C34" s="22">
        <v>0</v>
      </c>
      <c r="D34" s="22">
        <v>0</v>
      </c>
      <c r="E34" s="22">
        <v>220</v>
      </c>
      <c r="F34" s="22">
        <v>350</v>
      </c>
      <c r="P34" s="92"/>
    </row>
    <row r="35" spans="1:16" x14ac:dyDescent="0.3">
      <c r="A35" s="87" t="s">
        <v>94</v>
      </c>
      <c r="B35" s="28">
        <v>0</v>
      </c>
      <c r="C35" s="28">
        <v>0</v>
      </c>
      <c r="D35" s="28">
        <v>0</v>
      </c>
      <c r="E35" s="28">
        <v>0</v>
      </c>
      <c r="F35" s="28">
        <v>0</v>
      </c>
      <c r="G35" s="28"/>
      <c r="H35" s="28"/>
      <c r="I35" s="28"/>
      <c r="J35" s="28"/>
      <c r="K35" s="28"/>
      <c r="L35" s="28"/>
      <c r="M35" s="28"/>
      <c r="N35" s="28"/>
      <c r="O35" s="28"/>
      <c r="P35" s="92"/>
    </row>
    <row r="36" spans="1:16" x14ac:dyDescent="0.3">
      <c r="A36" s="79" t="s">
        <v>110</v>
      </c>
      <c r="B36" s="22">
        <f>SUM(B32:B35)</f>
        <v>2889.78</v>
      </c>
      <c r="C36" s="22">
        <f t="shared" ref="C36:O36" si="7">SUM(C32:C35)</f>
        <v>3141.7200000000003</v>
      </c>
      <c r="D36" s="22">
        <f t="shared" si="7"/>
        <v>1869.42</v>
      </c>
      <c r="E36" s="22">
        <f t="shared" si="7"/>
        <v>844.32</v>
      </c>
      <c r="F36" s="22">
        <f t="shared" si="7"/>
        <v>941.97</v>
      </c>
      <c r="G36" s="22">
        <f t="shared" si="7"/>
        <v>0</v>
      </c>
      <c r="H36" s="22">
        <f t="shared" si="7"/>
        <v>0</v>
      </c>
      <c r="I36" s="22">
        <f t="shared" si="7"/>
        <v>0</v>
      </c>
      <c r="J36" s="22">
        <f t="shared" si="7"/>
        <v>0</v>
      </c>
      <c r="K36" s="22">
        <f t="shared" si="7"/>
        <v>0</v>
      </c>
      <c r="L36" s="22">
        <f t="shared" si="7"/>
        <v>0</v>
      </c>
      <c r="M36" s="22">
        <f t="shared" si="7"/>
        <v>0</v>
      </c>
      <c r="N36" s="22">
        <f t="shared" si="7"/>
        <v>0</v>
      </c>
      <c r="O36" s="22">
        <f t="shared" si="7"/>
        <v>0</v>
      </c>
      <c r="P36" s="92">
        <f>SUM(B36:O36)</f>
        <v>9687.2099999999991</v>
      </c>
    </row>
    <row r="37" spans="1:16" x14ac:dyDescent="0.3">
      <c r="A37" s="79" t="s">
        <v>112</v>
      </c>
      <c r="B37" s="22">
        <v>2600</v>
      </c>
      <c r="C37" s="22">
        <v>2600</v>
      </c>
      <c r="D37" s="22">
        <v>2600</v>
      </c>
      <c r="E37" s="22">
        <v>2600</v>
      </c>
      <c r="F37" s="22">
        <v>2600</v>
      </c>
      <c r="G37" s="22">
        <v>2600</v>
      </c>
      <c r="H37" s="22">
        <v>2600</v>
      </c>
      <c r="I37" s="22">
        <v>2600</v>
      </c>
      <c r="J37" s="22">
        <v>2600</v>
      </c>
      <c r="K37" s="22">
        <v>2600</v>
      </c>
      <c r="L37" s="22">
        <v>2600</v>
      </c>
      <c r="M37" s="22">
        <v>2600</v>
      </c>
      <c r="N37" s="22">
        <v>2600</v>
      </c>
      <c r="O37" s="22">
        <v>2600</v>
      </c>
      <c r="P37" s="92">
        <f>SUM(B37:O37)</f>
        <v>36400</v>
      </c>
    </row>
    <row r="38" spans="1:16" ht="15" thickBot="1" x14ac:dyDescent="0.35">
      <c r="A38" s="82" t="s">
        <v>111</v>
      </c>
      <c r="B38" s="83">
        <f>+B36/B37</f>
        <v>1.1114538461538461</v>
      </c>
      <c r="C38" s="83">
        <f t="shared" ref="C38:O38" si="8">+C36/C37</f>
        <v>1.2083538461538463</v>
      </c>
      <c r="D38" s="89">
        <f t="shared" si="8"/>
        <v>0.71900769230769235</v>
      </c>
      <c r="E38" s="89">
        <f t="shared" si="8"/>
        <v>0.32473846153846153</v>
      </c>
      <c r="F38" s="89">
        <f t="shared" si="8"/>
        <v>0.36229615384615388</v>
      </c>
      <c r="G38" s="88">
        <f t="shared" si="8"/>
        <v>0</v>
      </c>
      <c r="H38" s="88">
        <f t="shared" si="8"/>
        <v>0</v>
      </c>
      <c r="I38" s="88">
        <f t="shared" si="8"/>
        <v>0</v>
      </c>
      <c r="J38" s="88">
        <f t="shared" si="8"/>
        <v>0</v>
      </c>
      <c r="K38" s="88">
        <f t="shared" si="8"/>
        <v>0</v>
      </c>
      <c r="L38" s="88">
        <f t="shared" si="8"/>
        <v>0</v>
      </c>
      <c r="M38" s="88">
        <f t="shared" si="8"/>
        <v>0</v>
      </c>
      <c r="N38" s="88">
        <f t="shared" si="8"/>
        <v>0</v>
      </c>
      <c r="O38" s="88">
        <f t="shared" si="8"/>
        <v>0</v>
      </c>
      <c r="P38" s="93">
        <f>+P36/P37</f>
        <v>0.26613214285714282</v>
      </c>
    </row>
    <row r="39" spans="1:16" ht="15" thickTop="1" x14ac:dyDescent="0.3">
      <c r="P39" s="92"/>
    </row>
    <row r="40" spans="1:16" x14ac:dyDescent="0.3">
      <c r="A40" s="84" t="s">
        <v>77</v>
      </c>
      <c r="P40" s="92"/>
    </row>
    <row r="41" spans="1:16" x14ac:dyDescent="0.3">
      <c r="A41" s="85" t="s">
        <v>91</v>
      </c>
      <c r="B41" s="34">
        <v>819.5</v>
      </c>
      <c r="C41" s="34">
        <v>1868.5</v>
      </c>
      <c r="D41" s="34">
        <v>1305.5</v>
      </c>
      <c r="E41" s="34">
        <v>734</v>
      </c>
      <c r="F41" s="34">
        <v>1071.5</v>
      </c>
      <c r="G41" s="34"/>
      <c r="H41" s="34"/>
      <c r="I41" s="34"/>
      <c r="J41" s="34"/>
      <c r="K41" s="34"/>
      <c r="L41" s="34"/>
      <c r="M41" s="34"/>
      <c r="N41" s="34"/>
      <c r="O41" s="34"/>
      <c r="P41" s="92"/>
    </row>
    <row r="42" spans="1:16" x14ac:dyDescent="0.3">
      <c r="A42" s="86" t="s">
        <v>93</v>
      </c>
      <c r="B42" s="22">
        <v>384.49</v>
      </c>
      <c r="C42" s="22">
        <v>564.38</v>
      </c>
      <c r="D42" s="22">
        <v>168.02</v>
      </c>
      <c r="E42" s="22">
        <v>105.65</v>
      </c>
      <c r="F42" s="22">
        <v>140.72999999999999</v>
      </c>
      <c r="P42" s="92"/>
    </row>
    <row r="43" spans="1:16" x14ac:dyDescent="0.3">
      <c r="A43" s="86" t="s">
        <v>92</v>
      </c>
      <c r="B43" s="22">
        <v>1661.25</v>
      </c>
      <c r="C43" s="22">
        <v>0</v>
      </c>
      <c r="D43" s="22">
        <v>0</v>
      </c>
      <c r="E43" s="22">
        <v>220</v>
      </c>
      <c r="F43" s="22">
        <v>1041</v>
      </c>
      <c r="P43" s="92"/>
    </row>
    <row r="44" spans="1:16" x14ac:dyDescent="0.3">
      <c r="A44" s="87" t="s">
        <v>94</v>
      </c>
      <c r="B44" s="28">
        <v>0</v>
      </c>
      <c r="C44" s="28">
        <v>0</v>
      </c>
      <c r="D44" s="28">
        <v>110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92"/>
    </row>
    <row r="45" spans="1:16" x14ac:dyDescent="0.3">
      <c r="A45" s="79" t="s">
        <v>110</v>
      </c>
      <c r="B45" s="22">
        <f>SUM(B41:B44)</f>
        <v>2865.24</v>
      </c>
      <c r="C45" s="22">
        <f t="shared" ref="C45:O45" si="9">SUM(C41:C44)</f>
        <v>2432.88</v>
      </c>
      <c r="D45" s="22">
        <f t="shared" si="9"/>
        <v>1583.52</v>
      </c>
      <c r="E45" s="22">
        <f t="shared" si="9"/>
        <v>1059.6500000000001</v>
      </c>
      <c r="F45" s="22">
        <f t="shared" si="9"/>
        <v>2253.23</v>
      </c>
      <c r="G45" s="22">
        <f t="shared" si="9"/>
        <v>0</v>
      </c>
      <c r="H45" s="22">
        <f t="shared" si="9"/>
        <v>0</v>
      </c>
      <c r="I45" s="22">
        <f t="shared" si="9"/>
        <v>0</v>
      </c>
      <c r="J45" s="22">
        <f t="shared" si="9"/>
        <v>0</v>
      </c>
      <c r="K45" s="22">
        <f t="shared" si="9"/>
        <v>0</v>
      </c>
      <c r="L45" s="22">
        <f t="shared" si="9"/>
        <v>0</v>
      </c>
      <c r="M45" s="22">
        <f t="shared" si="9"/>
        <v>0</v>
      </c>
      <c r="N45" s="22">
        <f t="shared" si="9"/>
        <v>0</v>
      </c>
      <c r="O45" s="22">
        <f t="shared" si="9"/>
        <v>0</v>
      </c>
      <c r="P45" s="92">
        <f>SUM(B45:O45)</f>
        <v>10194.519999999999</v>
      </c>
    </row>
    <row r="46" spans="1:16" x14ac:dyDescent="0.3">
      <c r="A46" s="79" t="s">
        <v>112</v>
      </c>
      <c r="B46" s="22">
        <v>3000</v>
      </c>
      <c r="C46" s="22">
        <v>3000</v>
      </c>
      <c r="D46" s="22">
        <v>3000</v>
      </c>
      <c r="E46" s="22">
        <v>3000</v>
      </c>
      <c r="F46" s="22">
        <v>3000</v>
      </c>
      <c r="G46" s="22">
        <v>3000</v>
      </c>
      <c r="H46" s="22">
        <v>3000</v>
      </c>
      <c r="I46" s="22">
        <v>3000</v>
      </c>
      <c r="J46" s="22">
        <v>3000</v>
      </c>
      <c r="K46" s="22">
        <v>3000</v>
      </c>
      <c r="L46" s="22">
        <v>3000</v>
      </c>
      <c r="M46" s="22">
        <v>3000</v>
      </c>
      <c r="N46" s="22">
        <v>3000</v>
      </c>
      <c r="O46" s="22">
        <v>3000</v>
      </c>
      <c r="P46" s="92">
        <f>SUM(B46:O46)</f>
        <v>42000</v>
      </c>
    </row>
    <row r="47" spans="1:16" ht="15" thickBot="1" x14ac:dyDescent="0.35">
      <c r="A47" s="82" t="s">
        <v>111</v>
      </c>
      <c r="B47" s="83">
        <f>+B45/B46</f>
        <v>0.95507999999999993</v>
      </c>
      <c r="C47" s="89">
        <f t="shared" ref="C47:O47" si="10">+C45/C46</f>
        <v>0.81096000000000001</v>
      </c>
      <c r="D47" s="89">
        <f t="shared" si="10"/>
        <v>0.52783999999999998</v>
      </c>
      <c r="E47" s="89">
        <f t="shared" si="10"/>
        <v>0.35321666666666668</v>
      </c>
      <c r="F47" s="89">
        <f t="shared" si="10"/>
        <v>0.75107666666666673</v>
      </c>
      <c r="G47" s="88">
        <f t="shared" si="10"/>
        <v>0</v>
      </c>
      <c r="H47" s="88">
        <f t="shared" si="10"/>
        <v>0</v>
      </c>
      <c r="I47" s="88">
        <f t="shared" si="10"/>
        <v>0</v>
      </c>
      <c r="J47" s="88">
        <f t="shared" si="10"/>
        <v>0</v>
      </c>
      <c r="K47" s="88">
        <f t="shared" si="10"/>
        <v>0</v>
      </c>
      <c r="L47" s="88">
        <f t="shared" si="10"/>
        <v>0</v>
      </c>
      <c r="M47" s="88">
        <f t="shared" si="10"/>
        <v>0</v>
      </c>
      <c r="N47" s="88">
        <f t="shared" si="10"/>
        <v>0</v>
      </c>
      <c r="O47" s="88">
        <f t="shared" si="10"/>
        <v>0</v>
      </c>
      <c r="P47" s="93">
        <f>+P45/P46</f>
        <v>0.24272666666666665</v>
      </c>
    </row>
    <row r="48" spans="1:16" ht="15" thickTop="1" x14ac:dyDescent="0.3">
      <c r="P48" s="92"/>
    </row>
    <row r="49" spans="1:16" x14ac:dyDescent="0.3">
      <c r="A49" s="84" t="s">
        <v>78</v>
      </c>
      <c r="P49" s="92"/>
    </row>
    <row r="50" spans="1:16" x14ac:dyDescent="0.3">
      <c r="A50" s="85" t="s">
        <v>91</v>
      </c>
      <c r="B50" s="34">
        <v>484</v>
      </c>
      <c r="C50" s="34">
        <v>1416.5</v>
      </c>
      <c r="D50" s="34">
        <v>1402.75</v>
      </c>
      <c r="E50" s="34">
        <v>1214.25</v>
      </c>
      <c r="F50" s="34">
        <v>1086</v>
      </c>
      <c r="G50" s="34"/>
      <c r="H50" s="34"/>
      <c r="I50" s="34"/>
      <c r="J50" s="34"/>
      <c r="K50" s="34"/>
      <c r="L50" s="34"/>
      <c r="M50" s="34"/>
      <c r="N50" s="34"/>
      <c r="O50" s="34"/>
      <c r="P50" s="92"/>
    </row>
    <row r="51" spans="1:16" x14ac:dyDescent="0.3">
      <c r="A51" s="86" t="s">
        <v>93</v>
      </c>
      <c r="B51" s="22">
        <v>70.099999999999994</v>
      </c>
      <c r="C51" s="22">
        <v>475.55</v>
      </c>
      <c r="D51" s="22">
        <v>889.28</v>
      </c>
      <c r="E51" s="22">
        <v>254.56</v>
      </c>
      <c r="F51" s="22">
        <v>82.14</v>
      </c>
      <c r="P51" s="92"/>
    </row>
    <row r="52" spans="1:16" x14ac:dyDescent="0.3">
      <c r="A52" s="86" t="s">
        <v>92</v>
      </c>
      <c r="B52" s="22">
        <v>3525.51</v>
      </c>
      <c r="C52" s="22">
        <v>218.75</v>
      </c>
      <c r="D52" s="22">
        <v>0</v>
      </c>
      <c r="E52" s="22">
        <v>440</v>
      </c>
      <c r="F52" s="22">
        <v>1274.25</v>
      </c>
      <c r="P52" s="92"/>
    </row>
    <row r="53" spans="1:16" x14ac:dyDescent="0.3">
      <c r="A53" s="87" t="s">
        <v>94</v>
      </c>
      <c r="B53" s="28">
        <v>0</v>
      </c>
      <c r="C53" s="28">
        <v>0</v>
      </c>
      <c r="D53" s="28">
        <v>0</v>
      </c>
      <c r="E53" s="28">
        <v>0</v>
      </c>
      <c r="F53" s="28">
        <v>0</v>
      </c>
      <c r="G53" s="28"/>
      <c r="H53" s="28"/>
      <c r="I53" s="28"/>
      <c r="J53" s="28"/>
      <c r="K53" s="28"/>
      <c r="L53" s="28"/>
      <c r="M53" s="28"/>
      <c r="N53" s="28"/>
      <c r="O53" s="28"/>
      <c r="P53" s="92"/>
    </row>
    <row r="54" spans="1:16" x14ac:dyDescent="0.3">
      <c r="A54" s="79" t="s">
        <v>110</v>
      </c>
      <c r="B54" s="22">
        <f>SUM(B50:B53)</f>
        <v>4079.61</v>
      </c>
      <c r="C54" s="22">
        <f t="shared" ref="C54:O54" si="11">SUM(C50:C53)</f>
        <v>2110.8000000000002</v>
      </c>
      <c r="D54" s="22">
        <f t="shared" si="11"/>
        <v>2292.0299999999997</v>
      </c>
      <c r="E54" s="22">
        <f t="shared" si="11"/>
        <v>1908.81</v>
      </c>
      <c r="F54" s="22">
        <f t="shared" si="11"/>
        <v>2442.3900000000003</v>
      </c>
      <c r="G54" s="22">
        <f t="shared" si="11"/>
        <v>0</v>
      </c>
      <c r="H54" s="22">
        <f t="shared" si="11"/>
        <v>0</v>
      </c>
      <c r="I54" s="22">
        <f t="shared" si="11"/>
        <v>0</v>
      </c>
      <c r="J54" s="22">
        <f t="shared" si="11"/>
        <v>0</v>
      </c>
      <c r="K54" s="22">
        <f t="shared" si="11"/>
        <v>0</v>
      </c>
      <c r="L54" s="22">
        <f t="shared" si="11"/>
        <v>0</v>
      </c>
      <c r="M54" s="22">
        <f t="shared" si="11"/>
        <v>0</v>
      </c>
      <c r="N54" s="22">
        <f t="shared" si="11"/>
        <v>0</v>
      </c>
      <c r="O54" s="22">
        <f t="shared" si="11"/>
        <v>0</v>
      </c>
      <c r="P54" s="92">
        <f>SUM(B54:O54)</f>
        <v>12833.64</v>
      </c>
    </row>
    <row r="55" spans="1:16" x14ac:dyDescent="0.3">
      <c r="A55" s="79" t="s">
        <v>112</v>
      </c>
      <c r="B55" s="22">
        <v>2750</v>
      </c>
      <c r="C55" s="22">
        <v>2750</v>
      </c>
      <c r="D55" s="22">
        <v>2750</v>
      </c>
      <c r="E55" s="22">
        <v>2750</v>
      </c>
      <c r="F55" s="22">
        <v>2750</v>
      </c>
      <c r="G55" s="22">
        <v>2750</v>
      </c>
      <c r="H55" s="22">
        <v>2750</v>
      </c>
      <c r="I55" s="22">
        <v>2750</v>
      </c>
      <c r="J55" s="22">
        <v>2750</v>
      </c>
      <c r="K55" s="22">
        <v>2750</v>
      </c>
      <c r="L55" s="22">
        <v>2750</v>
      </c>
      <c r="M55" s="22">
        <v>2750</v>
      </c>
      <c r="N55" s="22">
        <v>2750</v>
      </c>
      <c r="O55" s="22">
        <v>2750</v>
      </c>
      <c r="P55" s="92">
        <f>SUM(B55:O55)</f>
        <v>38500</v>
      </c>
    </row>
    <row r="56" spans="1:16" ht="15" thickBot="1" x14ac:dyDescent="0.35">
      <c r="A56" s="82" t="s">
        <v>111</v>
      </c>
      <c r="B56" s="83">
        <f>+B54/B55</f>
        <v>1.4834945454545454</v>
      </c>
      <c r="C56" s="89">
        <f t="shared" ref="C56:O56" si="12">+C54/C55</f>
        <v>0.76756363636363645</v>
      </c>
      <c r="D56" s="89">
        <f t="shared" si="12"/>
        <v>0.8334654545454544</v>
      </c>
      <c r="E56" s="89">
        <f t="shared" si="12"/>
        <v>0.69411272727272721</v>
      </c>
      <c r="F56" s="89">
        <f t="shared" si="12"/>
        <v>0.88814181818181825</v>
      </c>
      <c r="G56" s="88">
        <f t="shared" si="12"/>
        <v>0</v>
      </c>
      <c r="H56" s="88">
        <f t="shared" si="12"/>
        <v>0</v>
      </c>
      <c r="I56" s="88">
        <f t="shared" si="12"/>
        <v>0</v>
      </c>
      <c r="J56" s="88">
        <f t="shared" si="12"/>
        <v>0</v>
      </c>
      <c r="K56" s="88">
        <f t="shared" si="12"/>
        <v>0</v>
      </c>
      <c r="L56" s="88">
        <f t="shared" si="12"/>
        <v>0</v>
      </c>
      <c r="M56" s="88">
        <f t="shared" si="12"/>
        <v>0</v>
      </c>
      <c r="N56" s="88">
        <f t="shared" si="12"/>
        <v>0</v>
      </c>
      <c r="O56" s="88">
        <f t="shared" si="12"/>
        <v>0</v>
      </c>
      <c r="P56" s="93">
        <f>+P54/P55</f>
        <v>0.33334129870129869</v>
      </c>
    </row>
    <row r="57" spans="1:16" ht="15" thickTop="1" x14ac:dyDescent="0.3">
      <c r="P57" s="92"/>
    </row>
    <row r="58" spans="1:16" x14ac:dyDescent="0.3">
      <c r="A58" s="84" t="s">
        <v>79</v>
      </c>
      <c r="P58" s="92"/>
    </row>
    <row r="59" spans="1:16" x14ac:dyDescent="0.3">
      <c r="A59" s="85" t="s">
        <v>91</v>
      </c>
      <c r="B59" s="34">
        <v>0</v>
      </c>
      <c r="C59" s="34">
        <v>0</v>
      </c>
      <c r="D59" s="34">
        <v>0</v>
      </c>
      <c r="E59" s="34">
        <v>0</v>
      </c>
      <c r="F59" s="34">
        <v>120</v>
      </c>
      <c r="G59" s="34"/>
      <c r="H59" s="34"/>
      <c r="I59" s="34"/>
      <c r="J59" s="34"/>
      <c r="K59" s="34"/>
      <c r="L59" s="34"/>
      <c r="M59" s="34"/>
      <c r="N59" s="34"/>
      <c r="O59" s="34"/>
      <c r="P59" s="92"/>
    </row>
    <row r="60" spans="1:16" x14ac:dyDescent="0.3">
      <c r="A60" s="86" t="s">
        <v>93</v>
      </c>
      <c r="B60" s="22">
        <v>0</v>
      </c>
      <c r="C60" s="22">
        <v>-275.20999999999998</v>
      </c>
      <c r="D60" s="22">
        <v>0</v>
      </c>
      <c r="E60" s="22">
        <v>0</v>
      </c>
      <c r="F60" s="22">
        <v>-1.33</v>
      </c>
      <c r="P60" s="92"/>
    </row>
    <row r="61" spans="1:16" x14ac:dyDescent="0.3">
      <c r="A61" s="86" t="s">
        <v>92</v>
      </c>
      <c r="B61" s="22">
        <v>0</v>
      </c>
      <c r="C61" s="22">
        <v>0</v>
      </c>
      <c r="D61" s="22">
        <v>0</v>
      </c>
      <c r="E61" s="22">
        <v>0</v>
      </c>
      <c r="P61" s="92"/>
    </row>
    <row r="62" spans="1:16" x14ac:dyDescent="0.3">
      <c r="A62" s="87" t="s">
        <v>94</v>
      </c>
      <c r="B62" s="28">
        <v>0</v>
      </c>
      <c r="C62" s="28">
        <v>0</v>
      </c>
      <c r="D62" s="28">
        <v>0</v>
      </c>
      <c r="E62" s="28">
        <v>0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92"/>
    </row>
    <row r="63" spans="1:16" x14ac:dyDescent="0.3">
      <c r="A63" s="79" t="s">
        <v>110</v>
      </c>
      <c r="B63" s="22">
        <f>SUM(B59:B62)</f>
        <v>0</v>
      </c>
      <c r="C63" s="22">
        <f t="shared" ref="C63:O63" si="13">SUM(C59:C62)</f>
        <v>-275.20999999999998</v>
      </c>
      <c r="D63" s="22">
        <f t="shared" si="13"/>
        <v>0</v>
      </c>
      <c r="E63" s="22">
        <f t="shared" si="13"/>
        <v>0</v>
      </c>
      <c r="F63" s="22">
        <f t="shared" si="13"/>
        <v>118.67</v>
      </c>
      <c r="G63" s="22">
        <f t="shared" si="13"/>
        <v>0</v>
      </c>
      <c r="H63" s="22">
        <f t="shared" si="13"/>
        <v>0</v>
      </c>
      <c r="I63" s="22">
        <f t="shared" si="13"/>
        <v>0</v>
      </c>
      <c r="J63" s="22">
        <f t="shared" si="13"/>
        <v>0</v>
      </c>
      <c r="K63" s="22">
        <f t="shared" si="13"/>
        <v>0</v>
      </c>
      <c r="L63" s="22">
        <f t="shared" si="13"/>
        <v>0</v>
      </c>
      <c r="M63" s="22">
        <f t="shared" si="13"/>
        <v>0</v>
      </c>
      <c r="N63" s="22">
        <f t="shared" si="13"/>
        <v>0</v>
      </c>
      <c r="O63" s="22">
        <f t="shared" si="13"/>
        <v>0</v>
      </c>
      <c r="P63" s="92">
        <f>SUM(B63:O63)</f>
        <v>-156.53999999999996</v>
      </c>
    </row>
    <row r="64" spans="1:16" x14ac:dyDescent="0.3">
      <c r="A64" s="79" t="s">
        <v>112</v>
      </c>
      <c r="B64" s="22">
        <v>1750</v>
      </c>
      <c r="C64" s="22">
        <v>1750</v>
      </c>
      <c r="D64" s="22">
        <v>1750</v>
      </c>
      <c r="E64" s="22">
        <v>1750</v>
      </c>
      <c r="F64" s="22">
        <v>1750</v>
      </c>
      <c r="G64" s="22">
        <v>1750</v>
      </c>
      <c r="H64" s="22">
        <v>1750</v>
      </c>
      <c r="I64" s="22">
        <v>1750</v>
      </c>
      <c r="J64" s="22">
        <v>1750</v>
      </c>
      <c r="K64" s="22">
        <v>1750</v>
      </c>
      <c r="L64" s="22">
        <v>1750</v>
      </c>
      <c r="M64" s="22">
        <v>1750</v>
      </c>
      <c r="N64" s="22">
        <v>1750</v>
      </c>
      <c r="O64" s="22">
        <v>1750</v>
      </c>
      <c r="P64" s="92">
        <f>SUM(B64:O64)</f>
        <v>24500</v>
      </c>
    </row>
    <row r="65" spans="1:16" ht="15" thickBot="1" x14ac:dyDescent="0.35">
      <c r="A65" s="82" t="s">
        <v>111</v>
      </c>
      <c r="B65" s="88">
        <f>+B63/B64</f>
        <v>0</v>
      </c>
      <c r="C65" s="88">
        <f t="shared" ref="C65:O65" si="14">+C63/C64</f>
        <v>-0.15726285714285712</v>
      </c>
      <c r="D65" s="88">
        <f t="shared" si="14"/>
        <v>0</v>
      </c>
      <c r="E65" s="88">
        <f t="shared" si="14"/>
        <v>0</v>
      </c>
      <c r="F65" s="88">
        <f t="shared" si="14"/>
        <v>6.7811428571428578E-2</v>
      </c>
      <c r="G65" s="88">
        <f t="shared" si="14"/>
        <v>0</v>
      </c>
      <c r="H65" s="88">
        <f t="shared" si="14"/>
        <v>0</v>
      </c>
      <c r="I65" s="88">
        <f t="shared" si="14"/>
        <v>0</v>
      </c>
      <c r="J65" s="88">
        <f t="shared" si="14"/>
        <v>0</v>
      </c>
      <c r="K65" s="88">
        <f t="shared" si="14"/>
        <v>0</v>
      </c>
      <c r="L65" s="88">
        <f t="shared" si="14"/>
        <v>0</v>
      </c>
      <c r="M65" s="88">
        <f t="shared" si="14"/>
        <v>0</v>
      </c>
      <c r="N65" s="88">
        <f t="shared" si="14"/>
        <v>0</v>
      </c>
      <c r="O65" s="88">
        <f t="shared" si="14"/>
        <v>0</v>
      </c>
      <c r="P65" s="93">
        <f>+P63/P64</f>
        <v>-6.3893877551020389E-3</v>
      </c>
    </row>
    <row r="66" spans="1:16" ht="15" thickTop="1" x14ac:dyDescent="0.3">
      <c r="P66" s="92"/>
    </row>
    <row r="67" spans="1:16" x14ac:dyDescent="0.3">
      <c r="A67" s="84" t="s">
        <v>109</v>
      </c>
      <c r="P67" s="92"/>
    </row>
    <row r="68" spans="1:16" x14ac:dyDescent="0.3">
      <c r="A68" s="85" t="s">
        <v>91</v>
      </c>
      <c r="B68" s="34">
        <v>15748.95</v>
      </c>
      <c r="C68" s="34">
        <v>9454.15</v>
      </c>
      <c r="D68" s="34">
        <v>11149.25</v>
      </c>
      <c r="E68" s="34">
        <v>6641.5</v>
      </c>
      <c r="F68" s="34">
        <v>6476.75</v>
      </c>
      <c r="G68" s="34"/>
      <c r="H68" s="34"/>
      <c r="I68" s="34"/>
      <c r="J68" s="34"/>
      <c r="K68" s="34"/>
      <c r="L68" s="34"/>
      <c r="M68" s="34"/>
      <c r="N68" s="34"/>
      <c r="O68" s="34"/>
      <c r="P68" s="92"/>
    </row>
    <row r="69" spans="1:16" x14ac:dyDescent="0.3">
      <c r="A69" s="86" t="s">
        <v>93</v>
      </c>
      <c r="B69" s="22">
        <v>3998.69</v>
      </c>
      <c r="C69" s="22">
        <v>754.47</v>
      </c>
      <c r="D69" s="22">
        <v>1842.94</v>
      </c>
      <c r="E69" s="22">
        <v>1391.97</v>
      </c>
      <c r="F69" s="22">
        <v>1916.46</v>
      </c>
      <c r="P69" s="92"/>
    </row>
    <row r="70" spans="1:16" x14ac:dyDescent="0.3">
      <c r="A70" s="86" t="s">
        <v>92</v>
      </c>
      <c r="B70" s="22">
        <v>16215.76</v>
      </c>
      <c r="C70" s="22">
        <f>125+218.75</f>
        <v>343.75</v>
      </c>
      <c r="D70" s="22">
        <v>342</v>
      </c>
      <c r="E70" s="22">
        <v>1210</v>
      </c>
      <c r="F70" s="22">
        <v>6947</v>
      </c>
      <c r="P70" s="92"/>
    </row>
    <row r="71" spans="1:16" x14ac:dyDescent="0.3">
      <c r="A71" s="87" t="s">
        <v>94</v>
      </c>
      <c r="B71" s="28">
        <v>0</v>
      </c>
      <c r="C71" s="28">
        <v>0</v>
      </c>
      <c r="D71" s="28">
        <v>0</v>
      </c>
      <c r="E71" s="28">
        <v>0</v>
      </c>
      <c r="F71" s="28">
        <v>0</v>
      </c>
      <c r="G71" s="28"/>
      <c r="H71" s="28"/>
      <c r="I71" s="28"/>
      <c r="J71" s="28"/>
      <c r="K71" s="28"/>
      <c r="L71" s="28"/>
      <c r="M71" s="28"/>
      <c r="N71" s="28"/>
      <c r="O71" s="28"/>
      <c r="P71" s="92"/>
    </row>
    <row r="72" spans="1:16" x14ac:dyDescent="0.3">
      <c r="A72" s="79" t="s">
        <v>110</v>
      </c>
      <c r="B72" s="22">
        <f>SUM(B68:B71)-SUM(B71,B62,B53,B44,B35,B26,B17,B8)</f>
        <v>35963.4</v>
      </c>
      <c r="C72" s="22">
        <f t="shared" ref="C72:O72" si="15">SUM(C68:C71)-SUM(C71,C62,C53,C44,C35,C26,C17,C8)</f>
        <v>10552.369999999999</v>
      </c>
      <c r="D72" s="22">
        <f t="shared" si="15"/>
        <v>13224.19</v>
      </c>
      <c r="E72" s="22">
        <f t="shared" si="15"/>
        <v>9243.4700000000012</v>
      </c>
      <c r="F72" s="22">
        <f t="shared" si="15"/>
        <v>15340.21</v>
      </c>
      <c r="G72" s="22">
        <f t="shared" si="15"/>
        <v>0</v>
      </c>
      <c r="H72" s="22">
        <f t="shared" si="15"/>
        <v>0</v>
      </c>
      <c r="I72" s="22">
        <f t="shared" si="15"/>
        <v>0</v>
      </c>
      <c r="J72" s="22">
        <f t="shared" si="15"/>
        <v>0</v>
      </c>
      <c r="K72" s="22">
        <f t="shared" si="15"/>
        <v>0</v>
      </c>
      <c r="L72" s="22">
        <f t="shared" si="15"/>
        <v>0</v>
      </c>
      <c r="M72" s="22">
        <f t="shared" si="15"/>
        <v>0</v>
      </c>
      <c r="N72" s="22">
        <f t="shared" si="15"/>
        <v>0</v>
      </c>
      <c r="O72" s="22">
        <f t="shared" si="15"/>
        <v>0</v>
      </c>
      <c r="P72" s="92">
        <f>SUM(B72:O72)</f>
        <v>84323.640000000014</v>
      </c>
    </row>
    <row r="73" spans="1:16" x14ac:dyDescent="0.3">
      <c r="A73" s="79" t="s">
        <v>112</v>
      </c>
      <c r="B73" s="22">
        <v>20000</v>
      </c>
      <c r="C73" s="22">
        <v>20000</v>
      </c>
      <c r="D73" s="22">
        <v>20000</v>
      </c>
      <c r="E73" s="22">
        <v>20000</v>
      </c>
      <c r="F73" s="22">
        <v>20000</v>
      </c>
      <c r="G73" s="22">
        <v>20000</v>
      </c>
      <c r="H73" s="22">
        <v>20000</v>
      </c>
      <c r="I73" s="22">
        <v>20000</v>
      </c>
      <c r="J73" s="22">
        <v>20000</v>
      </c>
      <c r="K73" s="22">
        <v>20000</v>
      </c>
      <c r="L73" s="22">
        <v>20000</v>
      </c>
      <c r="M73" s="22">
        <v>20000</v>
      </c>
      <c r="N73" s="22">
        <v>20000</v>
      </c>
      <c r="O73" s="22">
        <v>20000</v>
      </c>
      <c r="P73" s="92">
        <f>SUM(B73:O73)</f>
        <v>280000</v>
      </c>
    </row>
    <row r="74" spans="1:16" ht="15" thickBot="1" x14ac:dyDescent="0.35">
      <c r="A74" s="82" t="s">
        <v>111</v>
      </c>
      <c r="B74" s="83">
        <f>+B72/B73</f>
        <v>1.79817</v>
      </c>
      <c r="C74" s="89">
        <f t="shared" ref="C74:O74" si="16">+C72/C73</f>
        <v>0.52761849999999999</v>
      </c>
      <c r="D74" s="89">
        <f t="shared" si="16"/>
        <v>0.66120950000000001</v>
      </c>
      <c r="E74" s="89">
        <f t="shared" si="16"/>
        <v>0.46217350000000007</v>
      </c>
      <c r="F74" s="89">
        <f t="shared" si="16"/>
        <v>0.76701049999999993</v>
      </c>
      <c r="G74" s="88">
        <f t="shared" si="16"/>
        <v>0</v>
      </c>
      <c r="H74" s="88">
        <f t="shared" si="16"/>
        <v>0</v>
      </c>
      <c r="I74" s="88">
        <f t="shared" si="16"/>
        <v>0</v>
      </c>
      <c r="J74" s="88">
        <f t="shared" si="16"/>
        <v>0</v>
      </c>
      <c r="K74" s="88">
        <f t="shared" si="16"/>
        <v>0</v>
      </c>
      <c r="L74" s="88">
        <f t="shared" si="16"/>
        <v>0</v>
      </c>
      <c r="M74" s="88">
        <f t="shared" si="16"/>
        <v>0</v>
      </c>
      <c r="N74" s="88">
        <f t="shared" si="16"/>
        <v>0</v>
      </c>
      <c r="O74" s="88">
        <f t="shared" si="16"/>
        <v>0</v>
      </c>
      <c r="P74" s="93">
        <f>+P72/P73</f>
        <v>0.3011558571428572</v>
      </c>
    </row>
    <row r="75" spans="1:16" ht="15" thickTop="1" x14ac:dyDescent="0.3"/>
  </sheetData>
  <phoneticPr fontId="1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4820-6E81-4318-A2D1-7BD192975392}">
  <dimension ref="B2:I32"/>
  <sheetViews>
    <sheetView zoomScale="160" zoomScaleNormal="160" workbookViewId="0">
      <selection activeCell="C2" sqref="C2"/>
    </sheetView>
  </sheetViews>
  <sheetFormatPr defaultRowHeight="14.4" x14ac:dyDescent="0.3"/>
  <cols>
    <col min="1" max="1" width="1" customWidth="1"/>
    <col min="2" max="3" width="27.77734375" style="1" customWidth="1"/>
    <col min="4" max="4" width="1.77734375" customWidth="1"/>
    <col min="5" max="6" width="27.77734375" style="1" customWidth="1"/>
    <col min="8" max="8" width="10" bestFit="1" customWidth="1"/>
  </cols>
  <sheetData>
    <row r="2" spans="2:9" x14ac:dyDescent="0.3">
      <c r="B2" s="52" t="s">
        <v>72</v>
      </c>
    </row>
    <row r="4" spans="2:9" ht="15" thickBot="1" x14ac:dyDescent="0.35"/>
    <row r="5" spans="2:9" x14ac:dyDescent="0.3">
      <c r="B5" s="8" t="s">
        <v>33</v>
      </c>
      <c r="C5" s="7">
        <v>1400</v>
      </c>
      <c r="E5" s="32" t="s">
        <v>34</v>
      </c>
      <c r="F5" s="33">
        <v>30000</v>
      </c>
    </row>
    <row r="6" spans="2:9" x14ac:dyDescent="0.3">
      <c r="E6" s="10"/>
      <c r="F6" s="11"/>
    </row>
    <row r="7" spans="2:9" x14ac:dyDescent="0.3">
      <c r="B7" s="1" t="s">
        <v>35</v>
      </c>
      <c r="C7" s="5">
        <v>1400</v>
      </c>
      <c r="E7" s="10" t="s">
        <v>36</v>
      </c>
      <c r="F7" s="12">
        <v>0</v>
      </c>
    </row>
    <row r="8" spans="2:9" x14ac:dyDescent="0.3">
      <c r="B8" s="1" t="s">
        <v>37</v>
      </c>
      <c r="C8" s="5">
        <v>1400</v>
      </c>
      <c r="E8" s="13"/>
      <c r="F8" s="14"/>
    </row>
    <row r="9" spans="2:9" x14ac:dyDescent="0.3">
      <c r="B9" s="1" t="s">
        <v>38</v>
      </c>
      <c r="C9" s="5">
        <v>1400</v>
      </c>
      <c r="E9" s="53" t="s">
        <v>39</v>
      </c>
      <c r="F9" s="54">
        <f>+F7/26</f>
        <v>0</v>
      </c>
    </row>
    <row r="10" spans="2:9" x14ac:dyDescent="0.3">
      <c r="B10" s="1" t="s">
        <v>40</v>
      </c>
      <c r="C10" s="5">
        <v>1400</v>
      </c>
      <c r="E10" s="10"/>
      <c r="F10" s="14"/>
      <c r="I10" s="9"/>
    </row>
    <row r="11" spans="2:9" ht="15" thickBot="1" x14ac:dyDescent="0.35">
      <c r="B11" s="1" t="s">
        <v>41</v>
      </c>
      <c r="C11" s="5">
        <v>1400</v>
      </c>
      <c r="E11" s="19" t="s">
        <v>42</v>
      </c>
      <c r="F11" s="31">
        <f>((F5*F12)*C22)-(F9*(COUNT(C7:C20)/2))+F9</f>
        <v>6923.0769230769238</v>
      </c>
    </row>
    <row r="12" spans="2:9" x14ac:dyDescent="0.3">
      <c r="B12" s="1" t="s">
        <v>43</v>
      </c>
      <c r="C12" s="5">
        <v>1400</v>
      </c>
      <c r="F12" s="4">
        <f>COUNT(C7:C20)/52</f>
        <v>0.23076923076923078</v>
      </c>
    </row>
    <row r="13" spans="2:9" x14ac:dyDescent="0.3">
      <c r="B13" s="1" t="s">
        <v>44</v>
      </c>
      <c r="C13" s="5">
        <v>1400</v>
      </c>
      <c r="E13" s="6" t="s">
        <v>45</v>
      </c>
      <c r="F13" s="34">
        <f>(12/52)*$F$5*$C$22</f>
        <v>6923.0769230769238</v>
      </c>
    </row>
    <row r="14" spans="2:9" x14ac:dyDescent="0.3">
      <c r="B14" s="1" t="s">
        <v>46</v>
      </c>
      <c r="C14" s="5">
        <v>1400</v>
      </c>
      <c r="E14" s="1" t="s">
        <v>47</v>
      </c>
      <c r="F14" s="22">
        <f>(14/52)*$F$5*$C$22</f>
        <v>8076.9230769230762</v>
      </c>
    </row>
    <row r="15" spans="2:9" x14ac:dyDescent="0.3">
      <c r="B15" s="1" t="s">
        <v>48</v>
      </c>
      <c r="C15" s="5">
        <v>1400</v>
      </c>
      <c r="E15" s="1" t="s">
        <v>49</v>
      </c>
      <c r="F15" s="22">
        <f>(12/52)*$F$5*$C$22</f>
        <v>6923.0769230769238</v>
      </c>
    </row>
    <row r="16" spans="2:9" x14ac:dyDescent="0.3">
      <c r="B16" s="1" t="s">
        <v>50</v>
      </c>
      <c r="C16" s="5">
        <v>1400</v>
      </c>
      <c r="E16" s="1" t="s">
        <v>51</v>
      </c>
      <c r="F16" s="22">
        <f>(14/52)*$F$5*$C$22</f>
        <v>8076.9230769230762</v>
      </c>
    </row>
    <row r="17" spans="2:6" x14ac:dyDescent="0.3">
      <c r="B17" s="1" t="s">
        <v>52</v>
      </c>
      <c r="C17" s="5">
        <v>1400</v>
      </c>
      <c r="E17" s="29" t="s">
        <v>53</v>
      </c>
      <c r="F17" s="30">
        <f>SUM(F13:F16)</f>
        <v>30000</v>
      </c>
    </row>
    <row r="18" spans="2:6" ht="15" thickBot="1" x14ac:dyDescent="0.35">
      <c r="B18" s="1" t="s">
        <v>54</v>
      </c>
      <c r="C18" s="5">
        <v>1400</v>
      </c>
      <c r="E18" s="21" t="s">
        <v>55</v>
      </c>
      <c r="F18" s="20"/>
    </row>
    <row r="19" spans="2:6" x14ac:dyDescent="0.3">
      <c r="B19" s="15" t="s">
        <v>56</v>
      </c>
      <c r="C19" s="46"/>
      <c r="D19" s="110"/>
    </row>
    <row r="20" spans="2:6" ht="15" thickBot="1" x14ac:dyDescent="0.35">
      <c r="B20" s="16" t="s">
        <v>57</v>
      </c>
      <c r="C20" s="47"/>
      <c r="D20" s="110"/>
      <c r="E20" s="55" t="s">
        <v>58</v>
      </c>
      <c r="F20" s="56">
        <v>1.06</v>
      </c>
    </row>
    <row r="21" spans="2:6" x14ac:dyDescent="0.3">
      <c r="E21" s="55" t="s">
        <v>59</v>
      </c>
      <c r="F21" s="57">
        <v>350</v>
      </c>
    </row>
    <row r="22" spans="2:6" ht="15" thickBot="1" x14ac:dyDescent="0.35">
      <c r="B22" s="3" t="s">
        <v>60</v>
      </c>
      <c r="C22" s="2">
        <f>SUM(C7:C20)/(C5*COUNT(C7:C20))</f>
        <v>1</v>
      </c>
      <c r="E22" s="58"/>
      <c r="F22" s="58"/>
    </row>
    <row r="23" spans="2:6" ht="15" thickTop="1" x14ac:dyDescent="0.3">
      <c r="E23" s="55" t="s">
        <v>61</v>
      </c>
      <c r="F23" s="56">
        <v>1</v>
      </c>
    </row>
    <row r="24" spans="2:6" x14ac:dyDescent="0.3">
      <c r="B24" s="21" t="s">
        <v>62</v>
      </c>
      <c r="C24" s="20"/>
      <c r="E24" s="55" t="s">
        <v>63</v>
      </c>
      <c r="F24" s="57">
        <v>200</v>
      </c>
    </row>
    <row r="25" spans="2:6" x14ac:dyDescent="0.3">
      <c r="E25" s="58"/>
      <c r="F25" s="58"/>
    </row>
    <row r="26" spans="2:6" x14ac:dyDescent="0.3">
      <c r="E26" s="59" t="s">
        <v>64</v>
      </c>
      <c r="F26" s="60">
        <f>F17+(F21*12)+(F24*12)</f>
        <v>36600</v>
      </c>
    </row>
    <row r="31" spans="2:6" x14ac:dyDescent="0.3">
      <c r="F31" s="48"/>
    </row>
    <row r="32" spans="2:6" x14ac:dyDescent="0.3">
      <c r="F32" s="1">
        <f>75000-62192</f>
        <v>12808</v>
      </c>
    </row>
  </sheetData>
  <mergeCells count="1">
    <mergeCell ref="D19:D20"/>
  </mergeCells>
  <dataValidations count="1">
    <dataValidation type="decimal" allowBlank="1" showInputMessage="1" showErrorMessage="1" errorTitle="Cannot Be Blank" error="Please assign all Weekly Attainment cells to a value between $0 and $25,000" sqref="C7:C20" xr:uid="{14AF6040-3D86-4DBB-ACEF-D1E200A9ADD8}">
      <formula1>0</formula1>
      <formula2>25000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42D45A-E895-4EC8-A4C7-E8A1F3DE494F}">
          <x14:formula1>
            <xm:f>'Service Dept Quota'!$A$11:$A$19</xm:f>
          </x14:formula1>
          <xm:sqref>C2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436B8-0577-4E39-A0AC-422F841F7803}">
  <dimension ref="B2:F6"/>
  <sheetViews>
    <sheetView zoomScale="90" zoomScaleNormal="90" workbookViewId="0">
      <selection activeCell="A4" sqref="A4"/>
    </sheetView>
  </sheetViews>
  <sheetFormatPr defaultRowHeight="14.4" x14ac:dyDescent="0.3"/>
  <cols>
    <col min="2" max="4" width="26.109375" customWidth="1"/>
    <col min="5" max="6" width="36.77734375" customWidth="1"/>
  </cols>
  <sheetData>
    <row r="2" spans="2:6" s="76" customFormat="1" ht="47.25" customHeight="1" x14ac:dyDescent="0.5">
      <c r="B2" s="74" t="s">
        <v>88</v>
      </c>
      <c r="C2" s="75" t="s">
        <v>85</v>
      </c>
      <c r="D2" s="75" t="s">
        <v>84</v>
      </c>
      <c r="E2" s="78" t="s">
        <v>87</v>
      </c>
      <c r="F2" s="78" t="s">
        <v>86</v>
      </c>
    </row>
    <row r="3" spans="2:6" s="76" customFormat="1" ht="47.25" customHeight="1" x14ac:dyDescent="0.5">
      <c r="B3" s="77" t="s">
        <v>80</v>
      </c>
      <c r="C3" s="77">
        <f>400*3</f>
        <v>1200</v>
      </c>
      <c r="D3" s="77">
        <f>+C3*4</f>
        <v>4800</v>
      </c>
      <c r="E3" s="77">
        <f>(34*2080)+(34*1.5*50*5)</f>
        <v>83470</v>
      </c>
      <c r="F3" s="77">
        <f>+E3+D3</f>
        <v>88270</v>
      </c>
    </row>
    <row r="4" spans="2:6" s="76" customFormat="1" ht="47.25" customHeight="1" x14ac:dyDescent="0.5">
      <c r="B4" s="74" t="s">
        <v>81</v>
      </c>
      <c r="C4" s="77">
        <v>3000</v>
      </c>
      <c r="D4" s="77">
        <f t="shared" ref="D4:D6" si="0">+C4*4</f>
        <v>12000</v>
      </c>
      <c r="E4" s="77">
        <f t="shared" ref="E4:E6" si="1">(34*2080)+(34*1.5*50*5)</f>
        <v>83470</v>
      </c>
      <c r="F4" s="77">
        <f>+E4+D4</f>
        <v>95470</v>
      </c>
    </row>
    <row r="5" spans="2:6" s="76" customFormat="1" ht="47.25" customHeight="1" x14ac:dyDescent="0.5">
      <c r="B5" s="74" t="s">
        <v>82</v>
      </c>
      <c r="C5" s="77">
        <v>5000</v>
      </c>
      <c r="D5" s="77">
        <f t="shared" si="0"/>
        <v>20000</v>
      </c>
      <c r="E5" s="77">
        <f t="shared" si="1"/>
        <v>83470</v>
      </c>
      <c r="F5" s="77">
        <f t="shared" ref="F5:F6" si="2">+E5+D5</f>
        <v>103470</v>
      </c>
    </row>
    <row r="6" spans="2:6" s="76" customFormat="1" ht="47.25" customHeight="1" x14ac:dyDescent="0.5">
      <c r="B6" s="74" t="s">
        <v>83</v>
      </c>
      <c r="C6" s="77">
        <f>2500*4</f>
        <v>10000</v>
      </c>
      <c r="D6" s="77">
        <f t="shared" si="0"/>
        <v>40000</v>
      </c>
      <c r="E6" s="77">
        <f t="shared" si="1"/>
        <v>83470</v>
      </c>
      <c r="F6" s="77">
        <f t="shared" si="2"/>
        <v>123470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94C39-861F-4348-8815-5516307BF626}">
  <dimension ref="B1:I29"/>
  <sheetViews>
    <sheetView zoomScale="160" zoomScaleNormal="160" workbookViewId="0">
      <selection activeCell="C4" sqref="C4"/>
    </sheetView>
  </sheetViews>
  <sheetFormatPr defaultRowHeight="14.4" x14ac:dyDescent="0.3"/>
  <cols>
    <col min="1" max="1" width="1" customWidth="1"/>
    <col min="2" max="3" width="27.77734375" style="1" customWidth="1"/>
    <col min="4" max="4" width="1.77734375" customWidth="1"/>
    <col min="5" max="6" width="27.77734375" style="1" customWidth="1"/>
    <col min="8" max="8" width="10" bestFit="1" customWidth="1"/>
  </cols>
  <sheetData>
    <row r="1" spans="2:9" ht="15" thickBot="1" x14ac:dyDescent="0.35"/>
    <row r="2" spans="2:9" x14ac:dyDescent="0.3">
      <c r="B2" s="8" t="s">
        <v>33</v>
      </c>
      <c r="C2" s="7">
        <v>2600</v>
      </c>
      <c r="E2" s="32" t="s">
        <v>65</v>
      </c>
      <c r="F2" s="33">
        <v>75000</v>
      </c>
    </row>
    <row r="3" spans="2:9" x14ac:dyDescent="0.3">
      <c r="E3" s="10"/>
      <c r="F3" s="11"/>
    </row>
    <row r="4" spans="2:9" x14ac:dyDescent="0.3">
      <c r="B4" s="1" t="s">
        <v>35</v>
      </c>
      <c r="C4" s="5">
        <v>2600</v>
      </c>
      <c r="E4" s="10" t="s">
        <v>36</v>
      </c>
      <c r="F4" s="12">
        <f>F2*0.6</f>
        <v>45000</v>
      </c>
    </row>
    <row r="5" spans="2:9" x14ac:dyDescent="0.3">
      <c r="B5" s="1" t="s">
        <v>37</v>
      </c>
      <c r="C5" s="5">
        <v>2600</v>
      </c>
      <c r="E5" s="13"/>
      <c r="F5" s="14"/>
    </row>
    <row r="6" spans="2:9" x14ac:dyDescent="0.3">
      <c r="B6" s="1" t="s">
        <v>38</v>
      </c>
      <c r="C6" s="5">
        <v>2600</v>
      </c>
      <c r="E6" s="17" t="s">
        <v>39</v>
      </c>
      <c r="F6" s="18">
        <f>+F4/26</f>
        <v>1730.7692307692307</v>
      </c>
    </row>
    <row r="7" spans="2:9" x14ac:dyDescent="0.3">
      <c r="B7" s="1" t="s">
        <v>40</v>
      </c>
      <c r="C7" s="5">
        <v>2600</v>
      </c>
      <c r="E7" s="10"/>
      <c r="F7" s="14"/>
      <c r="I7" s="9"/>
    </row>
    <row r="8" spans="2:9" ht="15" thickBot="1" x14ac:dyDescent="0.35">
      <c r="B8" s="1" t="s">
        <v>41</v>
      </c>
      <c r="C8" s="5">
        <v>2600</v>
      </c>
      <c r="E8" s="19" t="s">
        <v>66</v>
      </c>
      <c r="F8" s="31">
        <f>((F2*F9)*C19)-(F6*(COUNT(C4:C17)/2))+F6</f>
        <v>8653.8461538461543</v>
      </c>
    </row>
    <row r="9" spans="2:9" x14ac:dyDescent="0.3">
      <c r="B9" s="1" t="s">
        <v>43</v>
      </c>
      <c r="C9" s="5">
        <v>2600</v>
      </c>
      <c r="F9" s="4">
        <f>COUNT(C4:C17)/52</f>
        <v>0.23076923076923078</v>
      </c>
    </row>
    <row r="10" spans="2:9" x14ac:dyDescent="0.3">
      <c r="B10" s="1" t="s">
        <v>44</v>
      </c>
      <c r="C10" s="5">
        <v>2600</v>
      </c>
      <c r="E10" s="6" t="s">
        <v>45</v>
      </c>
      <c r="F10" s="34">
        <f>(12/52)*$F$2*$C$19</f>
        <v>17307.692307692309</v>
      </c>
    </row>
    <row r="11" spans="2:9" x14ac:dyDescent="0.3">
      <c r="B11" s="1" t="s">
        <v>46</v>
      </c>
      <c r="C11" s="5">
        <v>2600</v>
      </c>
      <c r="E11" s="1" t="s">
        <v>47</v>
      </c>
      <c r="F11" s="22">
        <f>(14/52)*$F$2*$C$19</f>
        <v>20192.307692307691</v>
      </c>
    </row>
    <row r="12" spans="2:9" x14ac:dyDescent="0.3">
      <c r="B12" s="1" t="s">
        <v>48</v>
      </c>
      <c r="C12" s="5">
        <v>2600</v>
      </c>
      <c r="E12" s="1" t="s">
        <v>49</v>
      </c>
      <c r="F12" s="22">
        <f>(12/52)*$F$2*$C$19</f>
        <v>17307.692307692309</v>
      </c>
    </row>
    <row r="13" spans="2:9" x14ac:dyDescent="0.3">
      <c r="B13" s="1" t="s">
        <v>50</v>
      </c>
      <c r="C13" s="5">
        <v>2600</v>
      </c>
      <c r="E13" s="1" t="s">
        <v>51</v>
      </c>
      <c r="F13" s="22">
        <f>(14/52)*$F$2*$C$19</f>
        <v>20192.307692307691</v>
      </c>
    </row>
    <row r="14" spans="2:9" x14ac:dyDescent="0.3">
      <c r="B14" s="1" t="s">
        <v>52</v>
      </c>
      <c r="C14" s="5">
        <v>2600</v>
      </c>
      <c r="E14" s="29" t="s">
        <v>53</v>
      </c>
      <c r="F14" s="30">
        <f>SUM(F10:F13)</f>
        <v>75000</v>
      </c>
    </row>
    <row r="15" spans="2:9" ht="15" thickBot="1" x14ac:dyDescent="0.35">
      <c r="B15" s="1" t="s">
        <v>54</v>
      </c>
      <c r="C15" s="5">
        <v>2600</v>
      </c>
      <c r="E15" s="21" t="s">
        <v>55</v>
      </c>
      <c r="F15" s="20"/>
    </row>
    <row r="16" spans="2:9" x14ac:dyDescent="0.3">
      <c r="B16" s="15" t="s">
        <v>56</v>
      </c>
      <c r="C16" s="46"/>
      <c r="D16" s="110"/>
    </row>
    <row r="17" spans="2:6" ht="15" thickBot="1" x14ac:dyDescent="0.35">
      <c r="B17" s="16" t="s">
        <v>57</v>
      </c>
      <c r="C17" s="47"/>
      <c r="D17" s="110"/>
      <c r="E17" s="25" t="s">
        <v>58</v>
      </c>
      <c r="F17" s="26">
        <v>1.06</v>
      </c>
    </row>
    <row r="18" spans="2:6" x14ac:dyDescent="0.3">
      <c r="E18" s="27" t="s">
        <v>59</v>
      </c>
      <c r="F18" s="28">
        <v>350</v>
      </c>
    </row>
    <row r="19" spans="2:6" ht="15" thickBot="1" x14ac:dyDescent="0.35">
      <c r="B19" s="3" t="s">
        <v>60</v>
      </c>
      <c r="C19" s="2">
        <f>SUM(C4:C17)/(C2*COUNT(C4:C17))</f>
        <v>1</v>
      </c>
    </row>
    <row r="20" spans="2:6" ht="15" thickTop="1" x14ac:dyDescent="0.3">
      <c r="E20" s="25" t="s">
        <v>61</v>
      </c>
      <c r="F20" s="26">
        <v>1</v>
      </c>
    </row>
    <row r="21" spans="2:6" x14ac:dyDescent="0.3">
      <c r="B21" s="21" t="s">
        <v>62</v>
      </c>
      <c r="C21" s="20"/>
      <c r="E21" s="27" t="s">
        <v>63</v>
      </c>
      <c r="F21" s="28">
        <v>200</v>
      </c>
    </row>
    <row r="23" spans="2:6" ht="15" thickBot="1" x14ac:dyDescent="0.35">
      <c r="E23" s="23" t="s">
        <v>64</v>
      </c>
      <c r="F23" s="24">
        <f>F14+(F18*12)+(F21*12)</f>
        <v>81600</v>
      </c>
    </row>
    <row r="24" spans="2:6" ht="15" thickTop="1" x14ac:dyDescent="0.3"/>
    <row r="28" spans="2:6" x14ac:dyDescent="0.3">
      <c r="F28" s="48"/>
    </row>
    <row r="29" spans="2:6" x14ac:dyDescent="0.3">
      <c r="F29" s="1">
        <f>75000-62192</f>
        <v>12808</v>
      </c>
    </row>
  </sheetData>
  <mergeCells count="1">
    <mergeCell ref="D16:D17"/>
  </mergeCells>
  <dataValidations count="1">
    <dataValidation type="decimal" allowBlank="1" showInputMessage="1" showErrorMessage="1" errorTitle="Cannot Be Blank" error="Please assign all Weekly Attainment cells to a value between $0 and $25,000" sqref="C4:C17" xr:uid="{013994D5-25C5-4D97-94AD-D27C1E3FF4CC}">
      <formula1>0</formula1>
      <formula2>25000</formula2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D981C-4B80-432F-9B25-F6DD3B4A6F98}">
  <dimension ref="B1:I29"/>
  <sheetViews>
    <sheetView zoomScale="160" zoomScaleNormal="160" workbookViewId="0">
      <selection activeCell="C4" sqref="C4"/>
    </sheetView>
  </sheetViews>
  <sheetFormatPr defaultRowHeight="14.4" x14ac:dyDescent="0.3"/>
  <cols>
    <col min="1" max="1" width="1" customWidth="1"/>
    <col min="2" max="3" width="27.77734375" style="1" customWidth="1"/>
    <col min="4" max="4" width="1.77734375" customWidth="1"/>
    <col min="5" max="6" width="27.77734375" style="1" customWidth="1"/>
    <col min="8" max="8" width="10" bestFit="1" customWidth="1"/>
  </cols>
  <sheetData>
    <row r="1" spans="2:9" ht="15" thickBot="1" x14ac:dyDescent="0.35"/>
    <row r="2" spans="2:9" x14ac:dyDescent="0.3">
      <c r="B2" s="8" t="s">
        <v>33</v>
      </c>
      <c r="C2" s="7">
        <v>2600</v>
      </c>
      <c r="E2" s="32" t="s">
        <v>65</v>
      </c>
      <c r="F2" s="33">
        <v>75000</v>
      </c>
    </row>
    <row r="3" spans="2:9" x14ac:dyDescent="0.3">
      <c r="E3" s="10"/>
      <c r="F3" s="11"/>
    </row>
    <row r="4" spans="2:9" x14ac:dyDescent="0.3">
      <c r="B4" s="1" t="s">
        <v>35</v>
      </c>
      <c r="C4" s="5">
        <v>2600</v>
      </c>
      <c r="E4" s="10" t="s">
        <v>36</v>
      </c>
      <c r="F4" s="12">
        <f>F2*0.6</f>
        <v>45000</v>
      </c>
    </row>
    <row r="5" spans="2:9" x14ac:dyDescent="0.3">
      <c r="B5" s="1" t="s">
        <v>37</v>
      </c>
      <c r="C5" s="5">
        <v>2600</v>
      </c>
      <c r="E5" s="13"/>
      <c r="F5" s="14"/>
    </row>
    <row r="6" spans="2:9" x14ac:dyDescent="0.3">
      <c r="B6" s="1" t="s">
        <v>38</v>
      </c>
      <c r="C6" s="5">
        <v>2600</v>
      </c>
      <c r="E6" s="17" t="s">
        <v>39</v>
      </c>
      <c r="F6" s="18">
        <f>+F4/26</f>
        <v>1730.7692307692307</v>
      </c>
    </row>
    <row r="7" spans="2:9" x14ac:dyDescent="0.3">
      <c r="B7" s="1" t="s">
        <v>40</v>
      </c>
      <c r="C7" s="5">
        <v>2600</v>
      </c>
      <c r="E7" s="10"/>
      <c r="F7" s="14"/>
      <c r="I7" s="9"/>
    </row>
    <row r="8" spans="2:9" ht="15" thickBot="1" x14ac:dyDescent="0.35">
      <c r="B8" s="1" t="s">
        <v>41</v>
      </c>
      <c r="C8" s="5">
        <v>2600</v>
      </c>
      <c r="E8" s="19" t="s">
        <v>66</v>
      </c>
      <c r="F8" s="31">
        <f>((F2*F9)*C19)-(F6*(COUNT(C4:C17)/2))+F6</f>
        <v>8653.8461538461543</v>
      </c>
    </row>
    <row r="9" spans="2:9" x14ac:dyDescent="0.3">
      <c r="B9" s="1" t="s">
        <v>43</v>
      </c>
      <c r="C9" s="5">
        <v>2600</v>
      </c>
      <c r="F9" s="4">
        <f>COUNT(C4:C17)/52</f>
        <v>0.23076923076923078</v>
      </c>
    </row>
    <row r="10" spans="2:9" x14ac:dyDescent="0.3">
      <c r="B10" s="1" t="s">
        <v>44</v>
      </c>
      <c r="C10" s="5">
        <v>2600</v>
      </c>
      <c r="E10" s="6" t="s">
        <v>45</v>
      </c>
      <c r="F10" s="34">
        <f>(12/52)*$F$2*$C$19</f>
        <v>17307.692307692309</v>
      </c>
    </row>
    <row r="11" spans="2:9" x14ac:dyDescent="0.3">
      <c r="B11" s="1" t="s">
        <v>46</v>
      </c>
      <c r="C11" s="5">
        <v>2600</v>
      </c>
      <c r="E11" s="1" t="s">
        <v>47</v>
      </c>
      <c r="F11" s="22">
        <f>(14/52)*$F$2*$C$19</f>
        <v>20192.307692307691</v>
      </c>
    </row>
    <row r="12" spans="2:9" x14ac:dyDescent="0.3">
      <c r="B12" s="1" t="s">
        <v>48</v>
      </c>
      <c r="C12" s="5">
        <v>2600</v>
      </c>
      <c r="E12" s="1" t="s">
        <v>49</v>
      </c>
      <c r="F12" s="22">
        <f>(12/52)*$F$2*$C$19</f>
        <v>17307.692307692309</v>
      </c>
    </row>
    <row r="13" spans="2:9" x14ac:dyDescent="0.3">
      <c r="B13" s="1" t="s">
        <v>50</v>
      </c>
      <c r="C13" s="5">
        <v>2600</v>
      </c>
      <c r="E13" s="1" t="s">
        <v>51</v>
      </c>
      <c r="F13" s="22">
        <f>(14/52)*$F$2*$C$19</f>
        <v>20192.307692307691</v>
      </c>
    </row>
    <row r="14" spans="2:9" x14ac:dyDescent="0.3">
      <c r="B14" s="1" t="s">
        <v>52</v>
      </c>
      <c r="C14" s="5">
        <v>2600</v>
      </c>
      <c r="E14" s="29" t="s">
        <v>53</v>
      </c>
      <c r="F14" s="30">
        <f>SUM(F10:F13)</f>
        <v>75000</v>
      </c>
    </row>
    <row r="15" spans="2:9" ht="15" thickBot="1" x14ac:dyDescent="0.35">
      <c r="B15" s="1" t="s">
        <v>54</v>
      </c>
      <c r="C15" s="5">
        <v>2600</v>
      </c>
      <c r="E15" s="21" t="s">
        <v>55</v>
      </c>
      <c r="F15" s="20"/>
    </row>
    <row r="16" spans="2:9" x14ac:dyDescent="0.3">
      <c r="B16" s="15" t="s">
        <v>56</v>
      </c>
      <c r="C16" s="46"/>
      <c r="D16" s="110"/>
    </row>
    <row r="17" spans="2:6" ht="15" thickBot="1" x14ac:dyDescent="0.35">
      <c r="B17" s="16" t="s">
        <v>57</v>
      </c>
      <c r="C17" s="47"/>
      <c r="D17" s="110"/>
      <c r="E17" s="25" t="s">
        <v>58</v>
      </c>
      <c r="F17" s="26">
        <v>1.06</v>
      </c>
    </row>
    <row r="18" spans="2:6" x14ac:dyDescent="0.3">
      <c r="E18" s="27" t="s">
        <v>59</v>
      </c>
      <c r="F18" s="28">
        <v>350</v>
      </c>
    </row>
    <row r="19" spans="2:6" ht="15" thickBot="1" x14ac:dyDescent="0.35">
      <c r="B19" s="3" t="s">
        <v>60</v>
      </c>
      <c r="C19" s="2">
        <f>SUM(C4:C17)/(C2*COUNT(C4:C17))</f>
        <v>1</v>
      </c>
    </row>
    <row r="20" spans="2:6" ht="15" thickTop="1" x14ac:dyDescent="0.3">
      <c r="E20" s="25" t="s">
        <v>61</v>
      </c>
      <c r="F20" s="26">
        <v>1</v>
      </c>
    </row>
    <row r="21" spans="2:6" x14ac:dyDescent="0.3">
      <c r="B21" s="21" t="s">
        <v>62</v>
      </c>
      <c r="C21" s="20"/>
      <c r="E21" s="27" t="s">
        <v>63</v>
      </c>
      <c r="F21" s="28">
        <v>200</v>
      </c>
    </row>
    <row r="23" spans="2:6" ht="15" thickBot="1" x14ac:dyDescent="0.35">
      <c r="E23" s="23" t="s">
        <v>64</v>
      </c>
      <c r="F23" s="24">
        <f>F14+(F18*12)+(F21*12)</f>
        <v>81600</v>
      </c>
    </row>
    <row r="24" spans="2:6" ht="15" thickTop="1" x14ac:dyDescent="0.3"/>
    <row r="28" spans="2:6" x14ac:dyDescent="0.3">
      <c r="F28" s="48"/>
    </row>
    <row r="29" spans="2:6" x14ac:dyDescent="0.3">
      <c r="F29" s="1">
        <f>75000-62192</f>
        <v>12808</v>
      </c>
    </row>
  </sheetData>
  <mergeCells count="1">
    <mergeCell ref="D16:D17"/>
  </mergeCells>
  <dataValidations count="1">
    <dataValidation type="decimal" allowBlank="1" showInputMessage="1" showErrorMessage="1" errorTitle="Cannot Be Blank" error="Please assign all Weekly Attainment cells to a value between $0 and $25,000" sqref="C4:C17" xr:uid="{5C2E2DA8-95EA-475B-9AD0-5DB75521B431}">
      <formula1>0</formula1>
      <formula2>25000</formula2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57B0-3B49-45D5-95C3-9F28C6FAADC5}">
  <dimension ref="B1:I29"/>
  <sheetViews>
    <sheetView zoomScale="160" zoomScaleNormal="160" workbookViewId="0">
      <selection activeCell="F3" sqref="F3"/>
    </sheetView>
  </sheetViews>
  <sheetFormatPr defaultRowHeight="14.4" x14ac:dyDescent="0.3"/>
  <cols>
    <col min="1" max="1" width="1" customWidth="1"/>
    <col min="2" max="3" width="27.77734375" style="1" customWidth="1"/>
    <col min="4" max="4" width="1.77734375" customWidth="1"/>
    <col min="5" max="6" width="27.77734375" style="1" customWidth="1"/>
    <col min="8" max="8" width="10" bestFit="1" customWidth="1"/>
  </cols>
  <sheetData>
    <row r="1" spans="2:9" ht="15" thickBot="1" x14ac:dyDescent="0.35"/>
    <row r="2" spans="2:9" x14ac:dyDescent="0.3">
      <c r="B2" s="8" t="s">
        <v>33</v>
      </c>
      <c r="C2" s="7">
        <v>3000</v>
      </c>
      <c r="E2" s="32" t="s">
        <v>65</v>
      </c>
      <c r="F2" s="33">
        <v>90000</v>
      </c>
    </row>
    <row r="3" spans="2:9" x14ac:dyDescent="0.3">
      <c r="E3" s="10"/>
      <c r="F3" s="11"/>
    </row>
    <row r="4" spans="2:9" x14ac:dyDescent="0.3">
      <c r="B4" s="1" t="s">
        <v>35</v>
      </c>
      <c r="C4" s="5">
        <v>3000</v>
      </c>
      <c r="E4" s="10" t="s">
        <v>36</v>
      </c>
      <c r="F4" s="12">
        <f>F2*0.6</f>
        <v>54000</v>
      </c>
    </row>
    <row r="5" spans="2:9" x14ac:dyDescent="0.3">
      <c r="B5" s="1" t="s">
        <v>37</v>
      </c>
      <c r="C5" s="5">
        <v>3000</v>
      </c>
      <c r="E5" s="13"/>
      <c r="F5" s="14"/>
    </row>
    <row r="6" spans="2:9" x14ac:dyDescent="0.3">
      <c r="B6" s="1" t="s">
        <v>38</v>
      </c>
      <c r="C6" s="5">
        <v>3000</v>
      </c>
      <c r="E6" s="17" t="s">
        <v>39</v>
      </c>
      <c r="F6" s="18">
        <f>+F4/26</f>
        <v>2076.9230769230771</v>
      </c>
    </row>
    <row r="7" spans="2:9" x14ac:dyDescent="0.3">
      <c r="B7" s="1" t="s">
        <v>40</v>
      </c>
      <c r="C7" s="5">
        <v>3000</v>
      </c>
      <c r="E7" s="10"/>
      <c r="F7" s="14"/>
      <c r="I7" s="9"/>
    </row>
    <row r="8" spans="2:9" ht="15" thickBot="1" x14ac:dyDescent="0.35">
      <c r="B8" s="1" t="s">
        <v>41</v>
      </c>
      <c r="C8" s="5">
        <v>3000</v>
      </c>
      <c r="E8" s="19" t="s">
        <v>66</v>
      </c>
      <c r="F8" s="31">
        <f>((F2*F9)*C19)-(F6*(COUNT(C4:C17)/2))+F6</f>
        <v>10384.615384615383</v>
      </c>
    </row>
    <row r="9" spans="2:9" x14ac:dyDescent="0.3">
      <c r="B9" s="1" t="s">
        <v>43</v>
      </c>
      <c r="C9" s="5">
        <v>3000</v>
      </c>
      <c r="F9" s="4">
        <f>COUNT(C4:C17)/52</f>
        <v>0.23076923076923078</v>
      </c>
    </row>
    <row r="10" spans="2:9" x14ac:dyDescent="0.3">
      <c r="B10" s="1" t="s">
        <v>44</v>
      </c>
      <c r="C10" s="5">
        <v>3000</v>
      </c>
      <c r="E10" s="6" t="s">
        <v>45</v>
      </c>
      <c r="F10" s="34">
        <f>(12/52)*$F$2*$C$19</f>
        <v>20769.23076923077</v>
      </c>
    </row>
    <row r="11" spans="2:9" x14ac:dyDescent="0.3">
      <c r="B11" s="1" t="s">
        <v>46</v>
      </c>
      <c r="C11" s="5">
        <v>3000</v>
      </c>
      <c r="E11" s="1" t="s">
        <v>47</v>
      </c>
      <c r="F11" s="22">
        <f>(14/52)*$F$2*$C$19</f>
        <v>24230.76923076923</v>
      </c>
    </row>
    <row r="12" spans="2:9" x14ac:dyDescent="0.3">
      <c r="B12" s="1" t="s">
        <v>48</v>
      </c>
      <c r="C12" s="5">
        <v>3000</v>
      </c>
      <c r="E12" s="1" t="s">
        <v>49</v>
      </c>
      <c r="F12" s="22">
        <f>(12/52)*$F$2*$C$19</f>
        <v>20769.23076923077</v>
      </c>
    </row>
    <row r="13" spans="2:9" x14ac:dyDescent="0.3">
      <c r="B13" s="1" t="s">
        <v>50</v>
      </c>
      <c r="C13" s="5">
        <v>3000</v>
      </c>
      <c r="E13" s="1" t="s">
        <v>51</v>
      </c>
      <c r="F13" s="22">
        <f>(14/52)*$F$2*$C$19</f>
        <v>24230.76923076923</v>
      </c>
    </row>
    <row r="14" spans="2:9" x14ac:dyDescent="0.3">
      <c r="B14" s="1" t="s">
        <v>52</v>
      </c>
      <c r="C14" s="5">
        <v>3000</v>
      </c>
      <c r="E14" s="29" t="s">
        <v>53</v>
      </c>
      <c r="F14" s="30">
        <f>SUM(F10:F13)</f>
        <v>90000</v>
      </c>
    </row>
    <row r="15" spans="2:9" ht="15" thickBot="1" x14ac:dyDescent="0.35">
      <c r="B15" s="1" t="s">
        <v>54</v>
      </c>
      <c r="C15" s="5">
        <v>3000</v>
      </c>
      <c r="E15" s="21" t="s">
        <v>55</v>
      </c>
      <c r="F15" s="20"/>
    </row>
    <row r="16" spans="2:9" x14ac:dyDescent="0.3">
      <c r="B16" s="15" t="s">
        <v>56</v>
      </c>
      <c r="C16" s="46"/>
      <c r="D16" s="110"/>
    </row>
    <row r="17" spans="2:6" ht="15" thickBot="1" x14ac:dyDescent="0.35">
      <c r="B17" s="16" t="s">
        <v>57</v>
      </c>
      <c r="C17" s="47"/>
      <c r="D17" s="110"/>
      <c r="E17" s="25" t="s">
        <v>58</v>
      </c>
      <c r="F17" s="26">
        <v>1.06</v>
      </c>
    </row>
    <row r="18" spans="2:6" x14ac:dyDescent="0.3">
      <c r="E18" s="27" t="s">
        <v>59</v>
      </c>
      <c r="F18" s="28">
        <v>350</v>
      </c>
    </row>
    <row r="19" spans="2:6" ht="15" thickBot="1" x14ac:dyDescent="0.35">
      <c r="B19" s="3" t="s">
        <v>60</v>
      </c>
      <c r="C19" s="2">
        <f>SUM(C4:C17)/(C2*COUNT(C4:C17))</f>
        <v>1</v>
      </c>
    </row>
    <row r="20" spans="2:6" ht="15" thickTop="1" x14ac:dyDescent="0.3">
      <c r="E20" s="25" t="s">
        <v>61</v>
      </c>
      <c r="F20" s="26">
        <v>1</v>
      </c>
    </row>
    <row r="21" spans="2:6" x14ac:dyDescent="0.3">
      <c r="B21" s="21" t="s">
        <v>62</v>
      </c>
      <c r="C21" s="20"/>
      <c r="E21" s="27" t="s">
        <v>63</v>
      </c>
      <c r="F21" s="28">
        <v>200</v>
      </c>
    </row>
    <row r="23" spans="2:6" ht="15" thickBot="1" x14ac:dyDescent="0.35">
      <c r="E23" s="23" t="s">
        <v>64</v>
      </c>
      <c r="F23" s="24">
        <f>F14+(F18*12)+(F21*12)</f>
        <v>96600</v>
      </c>
    </row>
    <row r="24" spans="2:6" ht="15" thickTop="1" x14ac:dyDescent="0.3"/>
    <row r="28" spans="2:6" x14ac:dyDescent="0.3">
      <c r="F28" s="48"/>
    </row>
    <row r="29" spans="2:6" x14ac:dyDescent="0.3">
      <c r="F29" s="1">
        <f>75000-62192</f>
        <v>12808</v>
      </c>
    </row>
  </sheetData>
  <mergeCells count="1">
    <mergeCell ref="D16:D17"/>
  </mergeCells>
  <dataValidations count="1">
    <dataValidation type="decimal" allowBlank="1" showInputMessage="1" showErrorMessage="1" errorTitle="Cannot Be Blank" error="Please assign all Weekly Attainment cells to a value between $0 and $25,000" sqref="C4:C17" xr:uid="{75B2B7E5-C82F-443F-BE56-BD180E3257F6}">
      <formula1>0</formula1>
      <formula2>25000</formula2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F193-AB66-458F-9AB2-294420141DF7}">
  <dimension ref="B1:I29"/>
  <sheetViews>
    <sheetView zoomScale="160" zoomScaleNormal="160" workbookViewId="0">
      <selection activeCell="H5" sqref="H5"/>
    </sheetView>
  </sheetViews>
  <sheetFormatPr defaultRowHeight="14.4" x14ac:dyDescent="0.3"/>
  <cols>
    <col min="1" max="1" width="1" customWidth="1"/>
    <col min="2" max="3" width="27.77734375" style="1" customWidth="1"/>
    <col min="4" max="4" width="1.77734375" customWidth="1"/>
    <col min="5" max="6" width="27.77734375" style="1" customWidth="1"/>
    <col min="8" max="8" width="10" bestFit="1" customWidth="1"/>
  </cols>
  <sheetData>
    <row r="1" spans="2:9" ht="15" thickBot="1" x14ac:dyDescent="0.35"/>
    <row r="2" spans="2:9" x14ac:dyDescent="0.3">
      <c r="B2" s="8" t="s">
        <v>33</v>
      </c>
      <c r="C2" s="7">
        <v>3000</v>
      </c>
      <c r="E2" s="32" t="s">
        <v>65</v>
      </c>
      <c r="F2" s="33">
        <v>100000</v>
      </c>
    </row>
    <row r="3" spans="2:9" x14ac:dyDescent="0.3">
      <c r="E3" s="10"/>
      <c r="F3" s="11"/>
    </row>
    <row r="4" spans="2:9" x14ac:dyDescent="0.3">
      <c r="B4" s="1" t="s">
        <v>35</v>
      </c>
      <c r="C4" s="5">
        <v>3000</v>
      </c>
      <c r="E4" s="10" t="s">
        <v>36</v>
      </c>
      <c r="F4" s="12">
        <f>F2*0.6</f>
        <v>60000</v>
      </c>
    </row>
    <row r="5" spans="2:9" x14ac:dyDescent="0.3">
      <c r="B5" s="1" t="s">
        <v>37</v>
      </c>
      <c r="C5" s="5">
        <v>3000</v>
      </c>
      <c r="E5" s="13"/>
      <c r="F5" s="14"/>
    </row>
    <row r="6" spans="2:9" x14ac:dyDescent="0.3">
      <c r="B6" s="1" t="s">
        <v>38</v>
      </c>
      <c r="C6" s="5">
        <v>3000</v>
      </c>
      <c r="E6" s="17" t="s">
        <v>39</v>
      </c>
      <c r="F6" s="18">
        <f>+F4/26</f>
        <v>2307.6923076923076</v>
      </c>
    </row>
    <row r="7" spans="2:9" x14ac:dyDescent="0.3">
      <c r="B7" s="1" t="s">
        <v>40</v>
      </c>
      <c r="C7" s="5">
        <v>3000</v>
      </c>
      <c r="E7" s="10"/>
      <c r="F7" s="14"/>
      <c r="I7" s="9"/>
    </row>
    <row r="8" spans="2:9" ht="15" thickBot="1" x14ac:dyDescent="0.35">
      <c r="B8" s="1" t="s">
        <v>41</v>
      </c>
      <c r="C8" s="5">
        <v>3000</v>
      </c>
      <c r="E8" s="19" t="s">
        <v>66</v>
      </c>
      <c r="F8" s="31">
        <f>((F2*F9)*C19)-(F6*(COUNT(C4:C17)/2))+F6</f>
        <v>11538.461538461539</v>
      </c>
    </row>
    <row r="9" spans="2:9" x14ac:dyDescent="0.3">
      <c r="B9" s="1" t="s">
        <v>43</v>
      </c>
      <c r="C9" s="5">
        <v>3000</v>
      </c>
      <c r="F9" s="4">
        <f>COUNT(C4:C17)/52</f>
        <v>0.23076923076923078</v>
      </c>
    </row>
    <row r="10" spans="2:9" x14ac:dyDescent="0.3">
      <c r="B10" s="1" t="s">
        <v>44</v>
      </c>
      <c r="C10" s="5">
        <v>3000</v>
      </c>
      <c r="E10" s="6" t="s">
        <v>45</v>
      </c>
      <c r="F10" s="34">
        <f>(12/52)*$F$2*$C$19</f>
        <v>23076.923076923078</v>
      </c>
    </row>
    <row r="11" spans="2:9" x14ac:dyDescent="0.3">
      <c r="B11" s="1" t="s">
        <v>46</v>
      </c>
      <c r="C11" s="5">
        <v>3000</v>
      </c>
      <c r="E11" s="1" t="s">
        <v>47</v>
      </c>
      <c r="F11" s="22">
        <f>(14/52)*$F$2*$C$19</f>
        <v>26923.076923076922</v>
      </c>
    </row>
    <row r="12" spans="2:9" x14ac:dyDescent="0.3">
      <c r="B12" s="1" t="s">
        <v>48</v>
      </c>
      <c r="C12" s="5">
        <v>3000</v>
      </c>
      <c r="E12" s="1" t="s">
        <v>49</v>
      </c>
      <c r="F12" s="22">
        <f>(12/52)*$F$2*$C$19</f>
        <v>23076.923076923078</v>
      </c>
    </row>
    <row r="13" spans="2:9" x14ac:dyDescent="0.3">
      <c r="B13" s="1" t="s">
        <v>50</v>
      </c>
      <c r="C13" s="5">
        <v>3000</v>
      </c>
      <c r="E13" s="1" t="s">
        <v>51</v>
      </c>
      <c r="F13" s="22">
        <f>(14/52)*$F$2*$C$19</f>
        <v>26923.076923076922</v>
      </c>
    </row>
    <row r="14" spans="2:9" x14ac:dyDescent="0.3">
      <c r="B14" s="1" t="s">
        <v>52</v>
      </c>
      <c r="C14" s="5">
        <v>3000</v>
      </c>
      <c r="E14" s="29" t="s">
        <v>53</v>
      </c>
      <c r="F14" s="30">
        <f>SUM(F10:F13)</f>
        <v>100000</v>
      </c>
    </row>
    <row r="15" spans="2:9" ht="15" thickBot="1" x14ac:dyDescent="0.35">
      <c r="B15" s="1" t="s">
        <v>54</v>
      </c>
      <c r="C15" s="5">
        <v>3000</v>
      </c>
      <c r="E15" s="21" t="s">
        <v>55</v>
      </c>
      <c r="F15" s="20"/>
    </row>
    <row r="16" spans="2:9" x14ac:dyDescent="0.3">
      <c r="B16" s="15" t="s">
        <v>56</v>
      </c>
      <c r="C16" s="46"/>
      <c r="D16" s="110"/>
    </row>
    <row r="17" spans="2:6" ht="15" thickBot="1" x14ac:dyDescent="0.35">
      <c r="B17" s="16" t="s">
        <v>57</v>
      </c>
      <c r="C17" s="47"/>
      <c r="D17" s="110"/>
      <c r="E17" s="25" t="s">
        <v>58</v>
      </c>
      <c r="F17" s="26">
        <v>1.06</v>
      </c>
    </row>
    <row r="18" spans="2:6" x14ac:dyDescent="0.3">
      <c r="E18" s="27" t="s">
        <v>59</v>
      </c>
      <c r="F18" s="28">
        <v>350</v>
      </c>
    </row>
    <row r="19" spans="2:6" ht="15" thickBot="1" x14ac:dyDescent="0.35">
      <c r="B19" s="3" t="s">
        <v>60</v>
      </c>
      <c r="C19" s="2">
        <f>SUM(C4:C17)/(C2*COUNT(C4:C17))</f>
        <v>1</v>
      </c>
    </row>
    <row r="20" spans="2:6" ht="15" thickTop="1" x14ac:dyDescent="0.3">
      <c r="E20" s="25" t="s">
        <v>61</v>
      </c>
      <c r="F20" s="26">
        <v>1</v>
      </c>
    </row>
    <row r="21" spans="2:6" x14ac:dyDescent="0.3">
      <c r="B21" s="21" t="s">
        <v>62</v>
      </c>
      <c r="C21" s="20"/>
      <c r="E21" s="27" t="s">
        <v>63</v>
      </c>
      <c r="F21" s="28">
        <v>200</v>
      </c>
    </row>
    <row r="23" spans="2:6" ht="15" thickBot="1" x14ac:dyDescent="0.35">
      <c r="E23" s="23" t="s">
        <v>64</v>
      </c>
      <c r="F23" s="24">
        <f>F14+(F18*12)+(F21*12)</f>
        <v>106600</v>
      </c>
    </row>
    <row r="24" spans="2:6" ht="15" thickTop="1" x14ac:dyDescent="0.3"/>
    <row r="28" spans="2:6" x14ac:dyDescent="0.3">
      <c r="F28" s="48"/>
    </row>
    <row r="29" spans="2:6" x14ac:dyDescent="0.3">
      <c r="F29" s="1">
        <f>75000-62192</f>
        <v>12808</v>
      </c>
    </row>
  </sheetData>
  <mergeCells count="1">
    <mergeCell ref="D16:D17"/>
  </mergeCells>
  <dataValidations count="1">
    <dataValidation type="decimal" allowBlank="1" showInputMessage="1" showErrorMessage="1" errorTitle="Cannot Be Blank" error="Please assign all Weekly Attainment cells to a value between $0 and $25,000" sqref="C4:C17" xr:uid="{9E1B67B9-5ACD-432A-896B-9E187BE5CE19}">
      <formula1>0</formula1>
      <formula2>25000</formula2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68697-5226-4199-964D-005B6DAA54D9}">
  <dimension ref="B1:I29"/>
  <sheetViews>
    <sheetView zoomScale="160" zoomScaleNormal="160" workbookViewId="0">
      <selection activeCell="F3" sqref="F3"/>
    </sheetView>
  </sheetViews>
  <sheetFormatPr defaultRowHeight="14.4" x14ac:dyDescent="0.3"/>
  <cols>
    <col min="1" max="1" width="1" customWidth="1"/>
    <col min="2" max="3" width="27.77734375" style="1" customWidth="1"/>
    <col min="4" max="4" width="1.77734375" customWidth="1"/>
    <col min="5" max="6" width="27.77734375" style="1" customWidth="1"/>
    <col min="8" max="8" width="10" bestFit="1" customWidth="1"/>
  </cols>
  <sheetData>
    <row r="1" spans="2:9" ht="15" thickBot="1" x14ac:dyDescent="0.35"/>
    <row r="2" spans="2:9" x14ac:dyDescent="0.3">
      <c r="B2" s="8" t="s">
        <v>33</v>
      </c>
      <c r="C2" s="7">
        <v>3000</v>
      </c>
      <c r="E2" s="32" t="s">
        <v>65</v>
      </c>
      <c r="F2" s="33">
        <v>90000</v>
      </c>
    </row>
    <row r="3" spans="2:9" x14ac:dyDescent="0.3">
      <c r="E3" s="10"/>
      <c r="F3" s="11"/>
    </row>
    <row r="4" spans="2:9" x14ac:dyDescent="0.3">
      <c r="B4" s="1" t="s">
        <v>35</v>
      </c>
      <c r="C4" s="5">
        <v>3000</v>
      </c>
      <c r="E4" s="10" t="s">
        <v>36</v>
      </c>
      <c r="F4" s="12">
        <f>F2*0.6</f>
        <v>54000</v>
      </c>
    </row>
    <row r="5" spans="2:9" x14ac:dyDescent="0.3">
      <c r="B5" s="1" t="s">
        <v>37</v>
      </c>
      <c r="C5" s="5">
        <v>3000</v>
      </c>
      <c r="E5" s="13"/>
      <c r="F5" s="14"/>
    </row>
    <row r="6" spans="2:9" x14ac:dyDescent="0.3">
      <c r="B6" s="1" t="s">
        <v>38</v>
      </c>
      <c r="C6" s="5">
        <v>3000</v>
      </c>
      <c r="E6" s="17" t="s">
        <v>39</v>
      </c>
      <c r="F6" s="18">
        <f>+F4/26</f>
        <v>2076.9230769230771</v>
      </c>
    </row>
    <row r="7" spans="2:9" x14ac:dyDescent="0.3">
      <c r="B7" s="1" t="s">
        <v>40</v>
      </c>
      <c r="C7" s="5">
        <v>3000</v>
      </c>
      <c r="E7" s="10"/>
      <c r="F7" s="14"/>
      <c r="I7" s="9"/>
    </row>
    <row r="8" spans="2:9" ht="15" thickBot="1" x14ac:dyDescent="0.35">
      <c r="B8" s="1" t="s">
        <v>41</v>
      </c>
      <c r="C8" s="5">
        <v>3000</v>
      </c>
      <c r="E8" s="19" t="s">
        <v>66</v>
      </c>
      <c r="F8" s="31">
        <f>((F2*F9)*C19)-(F6*(COUNT(C4:C17)/2))+F6</f>
        <v>10384.615384615383</v>
      </c>
    </row>
    <row r="9" spans="2:9" x14ac:dyDescent="0.3">
      <c r="B9" s="1" t="s">
        <v>43</v>
      </c>
      <c r="C9" s="5">
        <v>3000</v>
      </c>
      <c r="F9" s="4">
        <f>COUNT(C4:C17)/52</f>
        <v>0.23076923076923078</v>
      </c>
    </row>
    <row r="10" spans="2:9" x14ac:dyDescent="0.3">
      <c r="B10" s="1" t="s">
        <v>44</v>
      </c>
      <c r="C10" s="5">
        <v>3000</v>
      </c>
      <c r="E10" s="6" t="s">
        <v>45</v>
      </c>
      <c r="F10" s="34">
        <f>(12/52)*$F$2*$C$19</f>
        <v>20769.23076923077</v>
      </c>
    </row>
    <row r="11" spans="2:9" x14ac:dyDescent="0.3">
      <c r="B11" s="1" t="s">
        <v>46</v>
      </c>
      <c r="C11" s="5">
        <v>3000</v>
      </c>
      <c r="E11" s="1" t="s">
        <v>47</v>
      </c>
      <c r="F11" s="22">
        <f>(14/52)*$F$2*$C$19</f>
        <v>24230.76923076923</v>
      </c>
    </row>
    <row r="12" spans="2:9" x14ac:dyDescent="0.3">
      <c r="B12" s="1" t="s">
        <v>48</v>
      </c>
      <c r="C12" s="5">
        <v>3000</v>
      </c>
      <c r="E12" s="1" t="s">
        <v>49</v>
      </c>
      <c r="F12" s="22">
        <f>(12/52)*$F$2*$C$19</f>
        <v>20769.23076923077</v>
      </c>
    </row>
    <row r="13" spans="2:9" x14ac:dyDescent="0.3">
      <c r="B13" s="1" t="s">
        <v>50</v>
      </c>
      <c r="C13" s="5">
        <v>3000</v>
      </c>
      <c r="E13" s="1" t="s">
        <v>51</v>
      </c>
      <c r="F13" s="22">
        <f>(14/52)*$F$2*$C$19</f>
        <v>24230.76923076923</v>
      </c>
    </row>
    <row r="14" spans="2:9" x14ac:dyDescent="0.3">
      <c r="B14" s="1" t="s">
        <v>52</v>
      </c>
      <c r="C14" s="5">
        <v>3000</v>
      </c>
      <c r="E14" s="29" t="s">
        <v>53</v>
      </c>
      <c r="F14" s="30">
        <f>SUM(F10:F13)</f>
        <v>90000</v>
      </c>
    </row>
    <row r="15" spans="2:9" ht="15" thickBot="1" x14ac:dyDescent="0.35">
      <c r="B15" s="1" t="s">
        <v>54</v>
      </c>
      <c r="C15" s="5">
        <v>3000</v>
      </c>
      <c r="E15" s="21" t="s">
        <v>55</v>
      </c>
      <c r="F15" s="20"/>
    </row>
    <row r="16" spans="2:9" x14ac:dyDescent="0.3">
      <c r="B16" s="15" t="s">
        <v>56</v>
      </c>
      <c r="C16" s="46"/>
      <c r="D16" s="110"/>
    </row>
    <row r="17" spans="2:6" ht="15" thickBot="1" x14ac:dyDescent="0.35">
      <c r="B17" s="16" t="s">
        <v>57</v>
      </c>
      <c r="C17" s="47"/>
      <c r="D17" s="110"/>
      <c r="E17" s="25" t="s">
        <v>58</v>
      </c>
      <c r="F17" s="26">
        <v>1.06</v>
      </c>
    </row>
    <row r="18" spans="2:6" x14ac:dyDescent="0.3">
      <c r="E18" s="27" t="s">
        <v>59</v>
      </c>
      <c r="F18" s="28">
        <v>350</v>
      </c>
    </row>
    <row r="19" spans="2:6" ht="15" thickBot="1" x14ac:dyDescent="0.35">
      <c r="B19" s="3" t="s">
        <v>60</v>
      </c>
      <c r="C19" s="2">
        <f>SUM(C4:C17)/(C2*COUNT(C4:C17))</f>
        <v>1</v>
      </c>
    </row>
    <row r="20" spans="2:6" ht="15" thickTop="1" x14ac:dyDescent="0.3">
      <c r="E20" s="25" t="s">
        <v>61</v>
      </c>
      <c r="F20" s="26">
        <v>1</v>
      </c>
    </row>
    <row r="21" spans="2:6" x14ac:dyDescent="0.3">
      <c r="B21" s="21" t="s">
        <v>62</v>
      </c>
      <c r="C21" s="20"/>
      <c r="E21" s="27" t="s">
        <v>63</v>
      </c>
      <c r="F21" s="28">
        <v>200</v>
      </c>
    </row>
    <row r="23" spans="2:6" ht="15" thickBot="1" x14ac:dyDescent="0.35">
      <c r="E23" s="23" t="s">
        <v>64</v>
      </c>
      <c r="F23" s="24">
        <f>F14+(F18*12)+(F21*12)</f>
        <v>96600</v>
      </c>
    </row>
    <row r="24" spans="2:6" ht="15" thickTop="1" x14ac:dyDescent="0.3"/>
    <row r="28" spans="2:6" x14ac:dyDescent="0.3">
      <c r="F28" s="48"/>
    </row>
    <row r="29" spans="2:6" x14ac:dyDescent="0.3">
      <c r="F29" s="1">
        <f>75000-62192</f>
        <v>12808</v>
      </c>
    </row>
  </sheetData>
  <mergeCells count="1">
    <mergeCell ref="D16:D17"/>
  </mergeCells>
  <dataValidations count="1">
    <dataValidation type="decimal" allowBlank="1" showInputMessage="1" showErrorMessage="1" errorTitle="Cannot Be Blank" error="Please assign all Weekly Attainment cells to a value between $0 and $25,000" sqref="C4:C17" xr:uid="{7F020BD5-6AEE-4564-83AF-C4426061BF6C}">
      <formula1>0</formula1>
      <formula2>25000</formula2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790D-B945-433A-AC32-0E24A4A3F7EC}">
  <dimension ref="B1:I29"/>
  <sheetViews>
    <sheetView zoomScale="160" zoomScaleNormal="160" workbookViewId="0">
      <selection activeCell="B5" sqref="B5"/>
    </sheetView>
  </sheetViews>
  <sheetFormatPr defaultRowHeight="14.4" x14ac:dyDescent="0.3"/>
  <cols>
    <col min="1" max="1" width="1" customWidth="1"/>
    <col min="2" max="3" width="27.77734375" style="1" customWidth="1"/>
    <col min="4" max="4" width="1.77734375" customWidth="1"/>
    <col min="5" max="6" width="27.77734375" style="1" customWidth="1"/>
    <col min="8" max="8" width="10" bestFit="1" customWidth="1"/>
  </cols>
  <sheetData>
    <row r="1" spans="2:9" ht="15" thickBot="1" x14ac:dyDescent="0.35"/>
    <row r="2" spans="2:9" x14ac:dyDescent="0.3">
      <c r="B2" s="8" t="s">
        <v>33</v>
      </c>
      <c r="C2" s="7">
        <v>3000</v>
      </c>
      <c r="E2" s="32" t="s">
        <v>65</v>
      </c>
      <c r="F2" s="33">
        <v>100000</v>
      </c>
    </row>
    <row r="3" spans="2:9" x14ac:dyDescent="0.3">
      <c r="E3" s="10"/>
      <c r="F3" s="11"/>
    </row>
    <row r="4" spans="2:9" x14ac:dyDescent="0.3">
      <c r="B4" s="1" t="s">
        <v>35</v>
      </c>
      <c r="C4" s="5">
        <v>3000</v>
      </c>
      <c r="E4" s="10" t="s">
        <v>36</v>
      </c>
      <c r="F4" s="12">
        <f>F2*0.6</f>
        <v>60000</v>
      </c>
    </row>
    <row r="5" spans="2:9" x14ac:dyDescent="0.3">
      <c r="B5" s="1" t="s">
        <v>37</v>
      </c>
      <c r="C5" s="5">
        <v>3000</v>
      </c>
      <c r="E5" s="13"/>
      <c r="F5" s="14"/>
    </row>
    <row r="6" spans="2:9" x14ac:dyDescent="0.3">
      <c r="B6" s="1" t="s">
        <v>38</v>
      </c>
      <c r="C6" s="5">
        <v>3000</v>
      </c>
      <c r="E6" s="17" t="s">
        <v>39</v>
      </c>
      <c r="F6" s="18">
        <f>+F4/26</f>
        <v>2307.6923076923076</v>
      </c>
    </row>
    <row r="7" spans="2:9" x14ac:dyDescent="0.3">
      <c r="B7" s="1" t="s">
        <v>40</v>
      </c>
      <c r="C7" s="5">
        <v>3000</v>
      </c>
      <c r="E7" s="10"/>
      <c r="F7" s="14"/>
      <c r="I7" s="9"/>
    </row>
    <row r="8" spans="2:9" ht="15" thickBot="1" x14ac:dyDescent="0.35">
      <c r="B8" s="1" t="s">
        <v>41</v>
      </c>
      <c r="C8" s="5">
        <v>3000</v>
      </c>
      <c r="E8" s="19" t="s">
        <v>66</v>
      </c>
      <c r="F8" s="31">
        <f>((F2*F9)*C19)-(F6*(COUNT(C4:C17)/2))+F6</f>
        <v>11538.461538461539</v>
      </c>
    </row>
    <row r="9" spans="2:9" x14ac:dyDescent="0.3">
      <c r="B9" s="1" t="s">
        <v>43</v>
      </c>
      <c r="C9" s="5">
        <v>3000</v>
      </c>
      <c r="F9" s="4">
        <f>COUNT(C4:C17)/52</f>
        <v>0.23076923076923078</v>
      </c>
    </row>
    <row r="10" spans="2:9" x14ac:dyDescent="0.3">
      <c r="B10" s="1" t="s">
        <v>44</v>
      </c>
      <c r="C10" s="5">
        <v>3000</v>
      </c>
      <c r="E10" s="6" t="s">
        <v>45</v>
      </c>
      <c r="F10" s="34">
        <f>(12/52)*$F$2*$C$19</f>
        <v>23076.923076923078</v>
      </c>
    </row>
    <row r="11" spans="2:9" x14ac:dyDescent="0.3">
      <c r="B11" s="1" t="s">
        <v>46</v>
      </c>
      <c r="C11" s="5">
        <v>3000</v>
      </c>
      <c r="E11" s="1" t="s">
        <v>47</v>
      </c>
      <c r="F11" s="22">
        <f>(14/52)*$F$2*$C$19</f>
        <v>26923.076923076922</v>
      </c>
    </row>
    <row r="12" spans="2:9" x14ac:dyDescent="0.3">
      <c r="B12" s="1" t="s">
        <v>48</v>
      </c>
      <c r="C12" s="5">
        <v>3000</v>
      </c>
      <c r="E12" s="1" t="s">
        <v>49</v>
      </c>
      <c r="F12" s="22">
        <f>(12/52)*$F$2*$C$19</f>
        <v>23076.923076923078</v>
      </c>
    </row>
    <row r="13" spans="2:9" x14ac:dyDescent="0.3">
      <c r="B13" s="1" t="s">
        <v>50</v>
      </c>
      <c r="C13" s="5">
        <v>3000</v>
      </c>
      <c r="E13" s="1" t="s">
        <v>51</v>
      </c>
      <c r="F13" s="22">
        <f>(14/52)*$F$2*$C$19</f>
        <v>26923.076923076922</v>
      </c>
    </row>
    <row r="14" spans="2:9" x14ac:dyDescent="0.3">
      <c r="B14" s="1" t="s">
        <v>52</v>
      </c>
      <c r="C14" s="5">
        <v>3000</v>
      </c>
      <c r="E14" s="29" t="s">
        <v>53</v>
      </c>
      <c r="F14" s="30">
        <f>SUM(F10:F13)</f>
        <v>100000</v>
      </c>
    </row>
    <row r="15" spans="2:9" ht="15" thickBot="1" x14ac:dyDescent="0.35">
      <c r="B15" s="1" t="s">
        <v>54</v>
      </c>
      <c r="C15" s="5">
        <v>3000</v>
      </c>
      <c r="E15" s="21" t="s">
        <v>55</v>
      </c>
      <c r="F15" s="20"/>
    </row>
    <row r="16" spans="2:9" x14ac:dyDescent="0.3">
      <c r="B16" s="15" t="s">
        <v>56</v>
      </c>
      <c r="C16" s="46"/>
      <c r="D16" s="110"/>
    </row>
    <row r="17" spans="2:6" ht="15" thickBot="1" x14ac:dyDescent="0.35">
      <c r="B17" s="16" t="s">
        <v>57</v>
      </c>
      <c r="C17" s="47"/>
      <c r="D17" s="110"/>
      <c r="E17" s="25" t="s">
        <v>58</v>
      </c>
      <c r="F17" s="26">
        <v>1.06</v>
      </c>
    </row>
    <row r="18" spans="2:6" x14ac:dyDescent="0.3">
      <c r="E18" s="27" t="s">
        <v>59</v>
      </c>
      <c r="F18" s="28">
        <v>350</v>
      </c>
    </row>
    <row r="19" spans="2:6" ht="15" thickBot="1" x14ac:dyDescent="0.35">
      <c r="B19" s="3" t="s">
        <v>60</v>
      </c>
      <c r="C19" s="2">
        <f>SUM(C4:C17)/(C2*COUNT(C4:C17))</f>
        <v>1</v>
      </c>
    </row>
    <row r="20" spans="2:6" ht="15" thickTop="1" x14ac:dyDescent="0.3">
      <c r="E20" s="25" t="s">
        <v>61</v>
      </c>
      <c r="F20" s="26">
        <v>1</v>
      </c>
    </row>
    <row r="21" spans="2:6" x14ac:dyDescent="0.3">
      <c r="B21" s="21" t="s">
        <v>62</v>
      </c>
      <c r="C21" s="20"/>
      <c r="E21" s="27" t="s">
        <v>63</v>
      </c>
      <c r="F21" s="28">
        <v>200</v>
      </c>
    </row>
    <row r="23" spans="2:6" ht="15" thickBot="1" x14ac:dyDescent="0.35">
      <c r="E23" s="23" t="s">
        <v>64</v>
      </c>
      <c r="F23" s="24">
        <f>F14+(F18*12)+(F21*12)</f>
        <v>106600</v>
      </c>
    </row>
    <row r="24" spans="2:6" ht="15" thickTop="1" x14ac:dyDescent="0.3"/>
    <row r="28" spans="2:6" x14ac:dyDescent="0.3">
      <c r="F28" s="48"/>
    </row>
    <row r="29" spans="2:6" x14ac:dyDescent="0.3">
      <c r="F29" s="1">
        <f>75000-62192</f>
        <v>12808</v>
      </c>
    </row>
  </sheetData>
  <mergeCells count="1">
    <mergeCell ref="D16:D17"/>
  </mergeCells>
  <dataValidations count="1">
    <dataValidation type="decimal" allowBlank="1" showInputMessage="1" showErrorMessage="1" errorTitle="Cannot Be Blank" error="Please assign all Weekly Attainment cells to a value between $0 and $25,000" sqref="C4:C17" xr:uid="{33F137BA-AA0C-499A-BB3B-AEDF5CC23EB9}">
      <formula1>0</formula1>
      <formula2>25000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 Tech Pay Calendar</vt:lpstr>
      <vt:lpstr>Service Dept Quota</vt:lpstr>
      <vt:lpstr>Data Entry</vt:lpstr>
      <vt:lpstr>Calculator</vt:lpstr>
      <vt:lpstr>Mark Perks</vt:lpstr>
      <vt:lpstr>Scott</vt:lpstr>
      <vt:lpstr>Marc</vt:lpstr>
      <vt:lpstr>Andrew</vt:lpstr>
      <vt:lpstr>Mitchell</vt:lpstr>
      <vt:lpstr>Kyle</vt:lpstr>
      <vt:lpstr>Josh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Walsh</dc:creator>
  <cp:keywords/>
  <dc:description/>
  <cp:lastModifiedBy>Andrew Walsh</cp:lastModifiedBy>
  <cp:revision/>
  <dcterms:created xsi:type="dcterms:W3CDTF">2023-10-27T18:31:16Z</dcterms:created>
  <dcterms:modified xsi:type="dcterms:W3CDTF">2026-09-18T22:15:33Z</dcterms:modified>
  <cp:category/>
  <cp:contentStatus/>
</cp:coreProperties>
</file>