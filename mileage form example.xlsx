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ev\wilson-agility\"/>
    </mc:Choice>
  </mc:AlternateContent>
  <xr:revisionPtr revIDLastSave="0" documentId="8_{BBA603F6-A7D7-4C97-B8A8-7F16DCEB64B2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Mileage Form" sheetId="1" r:id="rId1"/>
    <sheet name="Sheet2" sheetId="2" r:id="rId2"/>
  </sheets>
  <definedNames>
    <definedName name="_xlnm.Print_Area" localSheetId="0">'Mileage Form'!$A$1:$E$34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9" i="1" l="1"/>
  <c r="E28" i="1"/>
  <c r="E27" i="1"/>
  <c r="E26" i="1"/>
  <c r="E25" i="1"/>
  <c r="E24" i="1"/>
  <c r="E23" i="1"/>
  <c r="E22" i="1"/>
  <c r="E33" i="1"/>
  <c r="D31" i="1"/>
  <c r="E30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31" i="1" l="1"/>
  <c r="E34" i="1" s="1"/>
</calcChain>
</file>

<file path=xl/sharedStrings.xml><?xml version="1.0" encoding="utf-8"?>
<sst xmlns="http://schemas.openxmlformats.org/spreadsheetml/2006/main" count="62" uniqueCount="37">
  <si>
    <t>Monthly Mileage Reimbursement</t>
  </si>
  <si>
    <t>WILSON AC &amp; APPLIANCE</t>
  </si>
  <si>
    <t>Year</t>
  </si>
  <si>
    <t>Month</t>
  </si>
  <si>
    <t>Employee Name</t>
  </si>
  <si>
    <t>Standard Commute — Round Trip (miles)</t>
  </si>
  <si>
    <t>Date / Description</t>
  </si>
  <si>
    <t>Showroom
Start (Y/N)</t>
  </si>
  <si>
    <t>Business Purpose</t>
  </si>
  <si>
    <t>Miles
Driven</t>
  </si>
  <si>
    <t>Reimbursed
Mileage</t>
  </si>
  <si>
    <t>TOTAL MILEAGE</t>
  </si>
  <si>
    <t>Reimbursement Rate (per mile)</t>
  </si>
  <si>
    <t>Reimbursement Rate</t>
  </si>
  <si>
    <t>REIMBURSEMENT TOTAL</t>
  </si>
  <si>
    <t>Reimbursement Total</t>
  </si>
  <si>
    <t>JUNE</t>
  </si>
  <si>
    <t>MATT MOCNIAK</t>
  </si>
  <si>
    <t>SHOWROOM</t>
  </si>
  <si>
    <t>Y</t>
  </si>
  <si>
    <t>CLIENT SITE VISITS</t>
  </si>
  <si>
    <t>CLIENT &amp; SITE VISITS</t>
  </si>
  <si>
    <t xml:space="preserve">PROSPECTING  </t>
  </si>
  <si>
    <t xml:space="preserve"> PROSPECTING SPRING BRAN</t>
  </si>
  <si>
    <t>TRAINING/BUILDER MEETING</t>
  </si>
  <si>
    <t>HILL COUNTRY SITE VISITS</t>
  </si>
  <si>
    <t>BUILDER PROSPECT/SITE</t>
  </si>
  <si>
    <t>GSABA LUNCH BUILDER PROSP</t>
  </si>
  <si>
    <t>SITE VISIT/BUILDER MEETING</t>
  </si>
  <si>
    <t>BUILDER MEETING</t>
  </si>
  <si>
    <t>HOME OFFICE</t>
  </si>
  <si>
    <t xml:space="preserve">BOERNE </t>
  </si>
  <si>
    <t>CR MEET/SITE VISIT/TRAIN</t>
  </si>
  <si>
    <t>CLIENT/SITE MEETING BLANCO</t>
  </si>
  <si>
    <t>Marble falls/horseshoe bay clients/prospecting</t>
  </si>
  <si>
    <t>spring branch/bulverde prospecting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</si>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</sst>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\$#,##0.000"/>
    <numFmt numFmtId="166" formatCode="\$#,##0.00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  <charset val="1"/>
    </font>
    <font>
      <i/>
      <sz val="9"/>
      <color rgb="FF808080"/>
      <name val="Arial"/>
      <family val="2"/>
    </font>
    <font>
      <sz val="12"/>
      <color theme="1"/>
      <name val="Calibri"/>
      <family val="2"/>
      <charset val="1"/>
    </font>
    <font>
      <b/>
      <sz val="11"/>
      <color rgb="FF7F4E00"/>
      <name val="Arial"/>
      <family val="2"/>
    </font>
    <font>
      <b/>
      <sz val="12"/>
      <color rgb="FF7F4E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D6E4F0"/>
      </patternFill>
    </fill>
    <fill>
      <patternFill patternType="solid">
        <fgColor rgb="FFFFFFFF"/>
        <bgColor rgb="FFF7FBFF"/>
      </patternFill>
    </fill>
    <fill>
      <patternFill patternType="solid">
        <fgColor rgb="FFF2F2F2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F7FBFF"/>
        <bgColor rgb="FFFFFFFF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2F2F2"/>
      </patternFill>
    </fill>
  </fills>
  <borders count="10">
    <border>
      <left/>
      <right/>
      <top/>
      <bottom/>
      <diagonal/>
    </border>
    <border>
      <left style="thin">
        <color rgb="FF1F3864"/>
      </left>
      <right style="medium">
        <color auto="1"/>
      </right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medium">
        <color auto="1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9D9E8"/>
      </left>
      <right style="thin">
        <color rgb="FFC9D9E8"/>
      </right>
      <top style="thin">
        <color rgb="FFC9D9E8"/>
      </top>
      <bottom style="thin">
        <color rgb="FFC9D9E8"/>
      </bottom>
      <diagonal/>
    </border>
    <border>
      <left style="medium">
        <color rgb="FFC9A93C"/>
      </left>
      <right/>
      <top style="medium">
        <color rgb="FFC9A93C"/>
      </top>
      <bottom style="medium">
        <color rgb="FFC9A93C"/>
      </bottom>
      <diagonal/>
    </border>
    <border>
      <left style="medium">
        <color rgb="FFC9A93C"/>
      </left>
      <right style="medium">
        <color rgb="FFC9A93C"/>
      </right>
      <top style="medium">
        <color rgb="FFC9A93C"/>
      </top>
      <bottom style="medium">
        <color rgb="FFC9A93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4" fillId="4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2" fillId="6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4" fillId="7" borderId="7" xfId="0" applyFont="1" applyFill="1" applyBorder="1" applyAlignment="1">
      <alignment horizontal="left" vertical="center"/>
    </xf>
    <xf numFmtId="0" fontId="4" fillId="7" borderId="7" xfId="0" applyFont="1" applyFill="1" applyBorder="1" applyAlignment="1">
      <alignment horizontal="center" vertical="center" wrapText="1"/>
    </xf>
    <xf numFmtId="164" fontId="4" fillId="7" borderId="7" xfId="0" applyNumberFormat="1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left" vertical="center"/>
    </xf>
    <xf numFmtId="0" fontId="4" fillId="8" borderId="7" xfId="0" applyFont="1" applyFill="1" applyBorder="1" applyAlignment="1">
      <alignment horizontal="center" vertical="center" wrapText="1"/>
    </xf>
    <xf numFmtId="164" fontId="4" fillId="8" borderId="7" xfId="0" applyNumberFormat="1" applyFont="1" applyFill="1" applyBorder="1" applyAlignment="1">
      <alignment horizontal="center" vertical="center" wrapText="1"/>
    </xf>
    <xf numFmtId="164" fontId="3" fillId="9" borderId="3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3" borderId="3" xfId="0" applyFill="1" applyBorder="1" applyAlignment="1">
      <alignment horizontal="center" vertical="center"/>
    </xf>
    <xf numFmtId="165" fontId="3" fillId="3" borderId="3" xfId="0" applyNumberFormat="1" applyFont="1" applyFill="1" applyBorder="1" applyAlignment="1">
      <alignment horizontal="center" vertical="center" wrapText="1"/>
    </xf>
    <xf numFmtId="0" fontId="0" fillId="10" borderId="9" xfId="0" applyFill="1" applyBorder="1" applyAlignment="1">
      <alignment horizontal="center" vertical="center"/>
    </xf>
    <xf numFmtId="166" fontId="9" fillId="10" borderId="9" xfId="0" applyNumberFormat="1" applyFont="1" applyFill="1" applyBorder="1" applyAlignment="1">
      <alignment horizontal="center" vertical="center" wrapText="1"/>
    </xf>
    <xf numFmtId="14" fontId="4" fillId="7" borderId="7" xfId="0" applyNumberFormat="1" applyFont="1" applyFill="1" applyBorder="1" applyAlignment="1">
      <alignment horizontal="left" vertical="center"/>
    </xf>
    <xf numFmtId="14" fontId="4" fillId="8" borderId="7" xfId="0" applyNumberFormat="1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8" fillId="10" borderId="8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C9D9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D6E4F0"/>
      <rgbColor rgb="FFF2F2F2"/>
      <rgbColor rgb="FF99CCFF"/>
      <rgbColor rgb="FFFF99CC"/>
      <rgbColor rgb="FFCC99FF"/>
      <rgbColor rgb="FFF7FBFF"/>
      <rgbColor rgb="FF2E75B6"/>
      <rgbColor rgb="FF33CCCC"/>
      <rgbColor rgb="FF99CC00"/>
      <rgbColor rgb="FFFFCC00"/>
      <rgbColor rgb="FFC9A93C"/>
      <rgbColor rgb="FFFF6600"/>
      <rgbColor rgb="FF666699"/>
      <rgbColor rgb="FF969696"/>
      <rgbColor rgb="FF1F3864"/>
      <rgbColor rgb="FF339966"/>
      <rgbColor rgb="FF003300"/>
      <rgbColor rgb="FF333300"/>
      <rgbColor rgb="FF7F4E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4"/>
  <sheetViews>
    <sheetView tabSelected="1" zoomScaleNormal="100" workbookViewId="0">
      <pane ySplit="5" topLeftCell="A6" activePane="bottomLeft" state="frozen"/>
      <selection pane="bottomLeft" activeCell="B8" sqref="B8"/>
    </sheetView>
  </sheetViews>
  <sheetFormatPr defaultColWidth="9.1796875" defaultRowHeight="14.5" x14ac:dyDescent="0.35"/>
  <cols>
    <col min="1" max="1" width="38" style="1" customWidth="1"/>
    <col min="2" max="2" width="16" style="1" customWidth="1"/>
    <col min="3" max="3" width="26" style="1" customWidth="1"/>
    <col min="4" max="4" width="16" style="1" customWidth="1"/>
    <col min="5" max="5" width="18" style="1" customWidth="1"/>
    <col min="6" max="16384" width="9.1796875" style="1"/>
  </cols>
  <sheetData>
    <row r="1" spans="1:6" ht="31.5" customHeight="1" x14ac:dyDescent="0.35">
      <c r="A1" s="26" t="s">
        <v>0</v>
      </c>
      <c r="B1" s="26"/>
      <c r="C1" s="26"/>
      <c r="D1" s="27" t="s">
        <v>1</v>
      </c>
      <c r="E1" s="27"/>
    </row>
    <row r="2" spans="1:6" ht="21.75" customHeight="1" x14ac:dyDescent="0.35">
      <c r="A2" s="28" t="s">
        <v>2</v>
      </c>
      <c r="B2" s="28"/>
      <c r="C2" s="2">
        <v>2026</v>
      </c>
      <c r="D2" s="3" t="s">
        <v>3</v>
      </c>
      <c r="E2" s="2" t="s">
        <v>16</v>
      </c>
    </row>
    <row r="3" spans="1:6" ht="21.75" customHeight="1" x14ac:dyDescent="0.35">
      <c r="A3" s="4" t="s">
        <v>4</v>
      </c>
      <c r="B3" s="29" t="s">
        <v>17</v>
      </c>
      <c r="C3" s="29"/>
      <c r="D3" s="29"/>
      <c r="E3" s="29"/>
      <c r="F3" s="5"/>
    </row>
    <row r="4" spans="1:6" ht="21.75" customHeight="1" x14ac:dyDescent="0.35">
      <c r="A4" s="4" t="s">
        <v>5</v>
      </c>
      <c r="B4" s="30">
        <v>66</v>
      </c>
      <c r="C4" s="30"/>
      <c r="D4" s="31"/>
      <c r="E4" s="31"/>
    </row>
    <row r="5" spans="1:6" s="7" customFormat="1" ht="30" customHeight="1" x14ac:dyDescent="0.35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</row>
    <row r="6" spans="1:6" ht="18" customHeight="1" x14ac:dyDescent="0.35">
      <c r="A6" s="21">
        <v>46174</v>
      </c>
      <c r="B6" s="9" t="s">
        <v>36</v>
      </c>
      <c r="C6" s="8" t="s">
        <v>22</v>
      </c>
      <c r="D6" s="10">
        <v>102</v>
      </c>
      <c r="E6" s="10">
        <f t="shared" ref="E6:E30" si="0">IF(B6="N",MAX(D6-$B$4,0),D6)</f>
        <v>36</v>
      </c>
    </row>
    <row r="7" spans="1:6" ht="18" customHeight="1" x14ac:dyDescent="0.35">
      <c r="A7" s="22">
        <v>46175</v>
      </c>
      <c r="B7" s="12" t="s">
        <v>19</v>
      </c>
      <c r="C7" s="11" t="s">
        <v>18</v>
      </c>
      <c r="D7" s="13">
        <v>0</v>
      </c>
      <c r="E7" s="13">
        <f t="shared" si="0"/>
        <v>0</v>
      </c>
    </row>
    <row r="8" spans="1:6" ht="18" customHeight="1" x14ac:dyDescent="0.35">
      <c r="A8" s="21">
        <v>46176</v>
      </c>
      <c r="B8" s="9" t="s">
        <v>19</v>
      </c>
      <c r="C8" s="8" t="s">
        <v>20</v>
      </c>
      <c r="D8" s="10">
        <v>126</v>
      </c>
      <c r="E8" s="10">
        <f t="shared" si="0"/>
        <v>126</v>
      </c>
    </row>
    <row r="9" spans="1:6" ht="18" customHeight="1" x14ac:dyDescent="0.35">
      <c r="A9" s="22">
        <v>46177</v>
      </c>
      <c r="B9" s="12" t="s">
        <v>19</v>
      </c>
      <c r="C9" s="11" t="s">
        <v>21</v>
      </c>
      <c r="D9" s="13">
        <v>87</v>
      </c>
      <c r="E9" s="13">
        <f t="shared" si="0"/>
        <v>87</v>
      </c>
    </row>
    <row r="10" spans="1:6" ht="18" customHeight="1" x14ac:dyDescent="0.35">
      <c r="A10" s="21">
        <v>46178</v>
      </c>
      <c r="B10" s="9" t="s">
        <v>19</v>
      </c>
      <c r="C10" s="8" t="s">
        <v>18</v>
      </c>
      <c r="D10" s="10">
        <v>0</v>
      </c>
      <c r="E10" s="10">
        <f t="shared" si="0"/>
        <v>0</v>
      </c>
    </row>
    <row r="11" spans="1:6" ht="18" customHeight="1" x14ac:dyDescent="0.35">
      <c r="A11" s="22">
        <v>46181</v>
      </c>
      <c r="B11" s="12" t="s">
        <v>19</v>
      </c>
      <c r="C11" s="11" t="s">
        <v>23</v>
      </c>
      <c r="D11" s="13">
        <v>46</v>
      </c>
      <c r="E11" s="13">
        <f t="shared" si="0"/>
        <v>46</v>
      </c>
    </row>
    <row r="12" spans="1:6" ht="18" customHeight="1" x14ac:dyDescent="0.35">
      <c r="A12" s="21">
        <v>46182</v>
      </c>
      <c r="B12" s="9" t="s">
        <v>19</v>
      </c>
      <c r="C12" s="8" t="s">
        <v>18</v>
      </c>
      <c r="D12" s="10">
        <v>66</v>
      </c>
      <c r="E12" s="10">
        <f t="shared" si="0"/>
        <v>66</v>
      </c>
    </row>
    <row r="13" spans="1:6" ht="18" customHeight="1" x14ac:dyDescent="0.35">
      <c r="A13" s="22">
        <v>46183</v>
      </c>
      <c r="B13" s="12" t="s">
        <v>19</v>
      </c>
      <c r="C13" s="11" t="s">
        <v>24</v>
      </c>
      <c r="D13" s="13">
        <v>97</v>
      </c>
      <c r="E13" s="13">
        <f t="shared" si="0"/>
        <v>97</v>
      </c>
    </row>
    <row r="14" spans="1:6" ht="18" customHeight="1" x14ac:dyDescent="0.35">
      <c r="A14" s="21">
        <v>46184</v>
      </c>
      <c r="B14" s="9" t="s">
        <v>19</v>
      </c>
      <c r="C14" s="8" t="s">
        <v>25</v>
      </c>
      <c r="D14" s="10">
        <v>106</v>
      </c>
      <c r="E14" s="10">
        <f t="shared" si="0"/>
        <v>106</v>
      </c>
    </row>
    <row r="15" spans="1:6" ht="18" customHeight="1" x14ac:dyDescent="0.35">
      <c r="A15" s="22">
        <v>46185</v>
      </c>
      <c r="B15" s="12" t="s">
        <v>19</v>
      </c>
      <c r="C15" s="11" t="s">
        <v>26</v>
      </c>
      <c r="D15" s="13">
        <v>172</v>
      </c>
      <c r="E15" s="13">
        <f t="shared" si="0"/>
        <v>172</v>
      </c>
    </row>
    <row r="16" spans="1:6" ht="18" customHeight="1" x14ac:dyDescent="0.35">
      <c r="A16" s="21">
        <v>46188</v>
      </c>
      <c r="B16" s="9" t="s">
        <v>19</v>
      </c>
      <c r="C16" s="8" t="s">
        <v>18</v>
      </c>
      <c r="D16" s="10">
        <v>0</v>
      </c>
      <c r="E16" s="10">
        <f t="shared" si="0"/>
        <v>0</v>
      </c>
    </row>
    <row r="17" spans="1:5" ht="18" customHeight="1" x14ac:dyDescent="0.35">
      <c r="A17" s="22">
        <v>46189</v>
      </c>
      <c r="B17" s="12" t="s">
        <v>19</v>
      </c>
      <c r="C17" s="11" t="s">
        <v>27</v>
      </c>
      <c r="D17" s="13">
        <v>86</v>
      </c>
      <c r="E17" s="13">
        <f t="shared" si="0"/>
        <v>86</v>
      </c>
    </row>
    <row r="18" spans="1:5" ht="18" customHeight="1" x14ac:dyDescent="0.35">
      <c r="A18" s="21">
        <v>46190</v>
      </c>
      <c r="B18" s="9" t="s">
        <v>19</v>
      </c>
      <c r="C18" s="8" t="s">
        <v>18</v>
      </c>
      <c r="D18" s="10">
        <v>0</v>
      </c>
      <c r="E18" s="10">
        <f t="shared" si="0"/>
        <v>0</v>
      </c>
    </row>
    <row r="19" spans="1:5" ht="18" customHeight="1" x14ac:dyDescent="0.35">
      <c r="A19" s="22">
        <v>46191</v>
      </c>
      <c r="B19" s="12" t="s">
        <v>19</v>
      </c>
      <c r="C19" s="11" t="s">
        <v>28</v>
      </c>
      <c r="D19" s="13">
        <v>76</v>
      </c>
      <c r="E19" s="13">
        <f t="shared" si="0"/>
        <v>76</v>
      </c>
    </row>
    <row r="20" spans="1:5" ht="18" customHeight="1" x14ac:dyDescent="0.35">
      <c r="A20" s="21">
        <v>46192</v>
      </c>
      <c r="B20" s="9" t="s">
        <v>19</v>
      </c>
      <c r="C20" s="8" t="s">
        <v>29</v>
      </c>
      <c r="D20" s="10">
        <v>26</v>
      </c>
      <c r="E20" s="10">
        <f t="shared" si="0"/>
        <v>26</v>
      </c>
    </row>
    <row r="21" spans="1:5" ht="18" customHeight="1" x14ac:dyDescent="0.35">
      <c r="A21" s="22">
        <v>46195</v>
      </c>
      <c r="B21" s="12" t="s">
        <v>19</v>
      </c>
      <c r="C21" s="11" t="s">
        <v>30</v>
      </c>
      <c r="D21" s="13">
        <v>0</v>
      </c>
      <c r="E21" s="13">
        <f t="shared" si="0"/>
        <v>0</v>
      </c>
    </row>
    <row r="22" spans="1:5" ht="18" customHeight="1" x14ac:dyDescent="0.35">
      <c r="A22" s="22">
        <v>46196</v>
      </c>
      <c r="B22" s="12" t="s">
        <v>19</v>
      </c>
      <c r="C22" s="11" t="s">
        <v>31</v>
      </c>
      <c r="D22" s="13">
        <v>199</v>
      </c>
      <c r="E22" s="13">
        <f t="shared" ref="E22:E29" si="1">IF(B22="N",MAX(D22-$B$4,0),D22)</f>
        <v>199</v>
      </c>
    </row>
    <row r="23" spans="1:5" ht="18" customHeight="1" x14ac:dyDescent="0.35">
      <c r="A23" s="22">
        <v>46197</v>
      </c>
      <c r="B23" s="12" t="s">
        <v>19</v>
      </c>
      <c r="C23" s="11" t="s">
        <v>32</v>
      </c>
      <c r="D23" s="13">
        <v>124</v>
      </c>
      <c r="E23" s="13">
        <f t="shared" si="1"/>
        <v>124</v>
      </c>
    </row>
    <row r="24" spans="1:5" ht="18" customHeight="1" x14ac:dyDescent="0.35">
      <c r="A24" s="22">
        <v>46198</v>
      </c>
      <c r="B24" s="12" t="s">
        <v>19</v>
      </c>
      <c r="C24" s="11" t="s">
        <v>18</v>
      </c>
      <c r="D24" s="13">
        <v>0</v>
      </c>
      <c r="E24" s="13">
        <f t="shared" si="1"/>
        <v>0</v>
      </c>
    </row>
    <row r="25" spans="1:5" ht="18" customHeight="1" x14ac:dyDescent="0.35">
      <c r="A25" s="22">
        <v>46199</v>
      </c>
      <c r="B25" s="12" t="s">
        <v>19</v>
      </c>
      <c r="C25" s="11" t="s">
        <v>33</v>
      </c>
      <c r="D25" s="13">
        <v>35</v>
      </c>
      <c r="E25" s="13">
        <f t="shared" si="1"/>
        <v>35</v>
      </c>
    </row>
    <row r="26" spans="1:5" ht="18" customHeight="1" x14ac:dyDescent="0.35">
      <c r="A26" s="22">
        <v>46202</v>
      </c>
      <c r="B26" s="12" t="s">
        <v>19</v>
      </c>
      <c r="C26" s="11" t="s">
        <v>34</v>
      </c>
      <c r="D26" s="13">
        <v>122</v>
      </c>
      <c r="E26" s="13">
        <f t="shared" si="1"/>
        <v>122</v>
      </c>
    </row>
    <row r="27" spans="1:5" ht="18" customHeight="1" x14ac:dyDescent="0.35">
      <c r="A27" s="22">
        <v>46203</v>
      </c>
      <c r="B27" s="12" t="s">
        <v>19</v>
      </c>
      <c r="C27" s="11" t="s">
        <v>35</v>
      </c>
      <c r="D27" s="13">
        <v>49</v>
      </c>
      <c r="E27" s="13">
        <f t="shared" si="1"/>
        <v>49</v>
      </c>
    </row>
    <row r="28" spans="1:5" ht="18" customHeight="1" x14ac:dyDescent="0.35">
      <c r="A28" s="11"/>
      <c r="B28" s="12"/>
      <c r="C28" s="11"/>
      <c r="D28" s="13"/>
      <c r="E28" s="13">
        <f t="shared" si="1"/>
        <v>0</v>
      </c>
    </row>
    <row r="29" spans="1:5" ht="18" customHeight="1" x14ac:dyDescent="0.35">
      <c r="A29" s="11"/>
      <c r="B29" s="12"/>
      <c r="C29" s="11"/>
      <c r="D29" s="13"/>
      <c r="E29" s="13">
        <f t="shared" si="1"/>
        <v>0</v>
      </c>
    </row>
    <row r="30" spans="1:5" ht="18" customHeight="1" x14ac:dyDescent="0.35">
      <c r="A30" s="8"/>
      <c r="B30" s="9"/>
      <c r="C30" s="8"/>
      <c r="D30" s="10"/>
      <c r="E30" s="10">
        <f t="shared" si="0"/>
        <v>0</v>
      </c>
    </row>
    <row r="31" spans="1:5" ht="21.75" customHeight="1" x14ac:dyDescent="0.35">
      <c r="A31" s="23" t="s">
        <v>11</v>
      </c>
      <c r="B31" s="23"/>
      <c r="C31" s="23"/>
      <c r="D31" s="14">
        <f>SUM(D6:D30)</f>
        <v>1519</v>
      </c>
      <c r="E31" s="14">
        <f>SUM(E6:E30)</f>
        <v>1453</v>
      </c>
    </row>
    <row r="32" spans="1:5" ht="7.5" customHeight="1" x14ac:dyDescent="0.35">
      <c r="A32" s="15"/>
      <c r="B32" s="16"/>
      <c r="C32" s="16"/>
      <c r="D32" s="16"/>
      <c r="E32" s="16"/>
    </row>
    <row r="33" spans="1:5" ht="19.5" customHeight="1" x14ac:dyDescent="0.35">
      <c r="A33" s="24" t="s">
        <v>12</v>
      </c>
      <c r="B33" s="24"/>
      <c r="C33" s="24"/>
      <c r="D33" s="17" t="s">
        <v>13</v>
      </c>
      <c r="E33" s="18">
        <f>IFERROR(VLOOKUP(C2,Sheet2!B:C,2,FALSE()),0.725)</f>
        <v>0.72499999999999998</v>
      </c>
    </row>
    <row r="34" spans="1:5" ht="24" customHeight="1" x14ac:dyDescent="0.35">
      <c r="A34" s="25" t="s">
        <v>14</v>
      </c>
      <c r="B34" s="25"/>
      <c r="C34" s="25"/>
      <c r="D34" s="19" t="s">
        <v>15</v>
      </c>
      <c r="E34" s="20">
        <f>E31*E33</f>
        <v>1053.425</v>
      </c>
    </row>
  </sheetData>
  <mergeCells count="9">
    <mergeCell ref="A31:C31"/>
    <mergeCell ref="A33:C33"/>
    <mergeCell ref="A34:C34"/>
    <mergeCell ref="A1:C1"/>
    <mergeCell ref="D1:E1"/>
    <mergeCell ref="A2:B2"/>
    <mergeCell ref="B3:E3"/>
    <mergeCell ref="B4:C4"/>
    <mergeCell ref="D4:E4"/>
  </mergeCells>
  <pageMargins left="0.75" right="0.75" top="1" bottom="1" header="0.511811023622047" footer="0.511811023622047"/>
  <pageSetup paperSize="9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3"/>
  <sheetViews>
    <sheetView zoomScaleNormal="100" workbookViewId="0"/>
  </sheetViews>
  <sheetFormatPr defaultColWidth="8.7265625" defaultRowHeight="14.5" x14ac:dyDescent="0.35"/>
  <sheetData>
    <row r="1" spans="2:3" ht="15" customHeight="1" x14ac:dyDescent="0.35">
      <c r="B1">
        <v>2025</v>
      </c>
      <c r="C1">
        <v>0.67</v>
      </c>
    </row>
    <row r="2" spans="2:3" ht="15" customHeight="1" x14ac:dyDescent="0.35">
      <c r="B2">
        <v>2026</v>
      </c>
      <c r="C2">
        <v>0.72499999999999998</v>
      </c>
    </row>
    <row r="3" spans="2:3" ht="15" customHeight="1" x14ac:dyDescent="0.35">
      <c r="B3">
        <v>2027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Mileage Form</vt:lpstr>
      <vt:lpstr>Sheet2</vt:lpstr>
      <vt:lpstr>'Mileage Form'!Print_Area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Andrew Walsh</cp:lastModifiedBy>
  <cp:revision>0</cp:revision>
  <dcterms:created xsi:type="dcterms:W3CDTF">2026-02-11T22:28:59Z</dcterms:created>
  <dcterms:modified xsi:type="dcterms:W3CDTF">2026-07-12T01:05:50Z</dcterms:modified>
  <cp:category/>
  <cp:contentStatus/>
</cp:coreProperties>
</file>